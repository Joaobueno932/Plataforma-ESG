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J:\ESG\PROGRAMA\METODOLOGIA\FIEMS\BASE\"/>
    </mc:Choice>
  </mc:AlternateContent>
  <xr:revisionPtr revIDLastSave="0" documentId="13_ncr:1_{1FA63C07-E97F-4E48-8A32-82119ADB7175}" xr6:coauthVersionLast="36" xr6:coauthVersionMax="36" xr10:uidLastSave="{00000000-0000-0000-0000-000000000000}"/>
  <bookViews>
    <workbookView xWindow="0" yWindow="0" windowWidth="23040" windowHeight="10284" activeTab="1" xr2:uid="{E23B5038-CC58-492E-BA9D-C3AF3E531CE6}"/>
  </bookViews>
  <sheets>
    <sheet name="Questionário" sheetId="10" r:id="rId1"/>
    <sheet name="Consolidado" sheetId="15" r:id="rId2"/>
    <sheet name="Caderno Geral" sheetId="1" r:id="rId3"/>
    <sheet name="A" sheetId="3" r:id="rId4"/>
    <sheet name="B" sheetId="9" r:id="rId5"/>
    <sheet name="C" sheetId="5" r:id="rId6"/>
    <sheet name="D" sheetId="4" r:id="rId7"/>
    <sheet name="E" sheetId="6" r:id="rId8"/>
    <sheet name="F" sheetId="7" r:id="rId9"/>
    <sheet name="G" sheetId="13" r:id="rId10"/>
    <sheet name="H" sheetId="2" r:id="rId11"/>
    <sheet name="Pontuações" sheetId="14" r:id="rId12"/>
  </sheets>
  <definedNames>
    <definedName name="_xlnm.Print_Area" localSheetId="2">'Caderno Geral'!$A$2:$E$61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5" l="1"/>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2" i="15"/>
  <c r="I139" i="15"/>
  <c r="I129" i="15"/>
  <c r="I126" i="15"/>
  <c r="I120" i="15"/>
  <c r="I119" i="15"/>
  <c r="I115" i="15"/>
  <c r="I110" i="15"/>
  <c r="I108" i="15"/>
  <c r="I105" i="15"/>
  <c r="I100" i="15"/>
  <c r="I99" i="15"/>
  <c r="I97" i="15"/>
  <c r="I90" i="15"/>
  <c r="I88" i="15"/>
  <c r="I85" i="15"/>
  <c r="I80" i="15"/>
  <c r="I78" i="15"/>
  <c r="I74" i="15"/>
  <c r="I70" i="15"/>
  <c r="I65" i="15"/>
  <c r="I60" i="15"/>
  <c r="I40" i="15"/>
  <c r="I15" i="15"/>
  <c r="K3" i="10" l="1"/>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2" i="10"/>
  <c r="D20" i="14" l="1"/>
  <c r="C16" i="14"/>
  <c r="D40" i="14" l="1"/>
  <c r="E40" i="14"/>
  <c r="F40" i="14"/>
  <c r="G40" i="14"/>
  <c r="H40" i="14"/>
  <c r="I40" i="14"/>
  <c r="J40" i="14"/>
  <c r="C40" i="14"/>
  <c r="D37" i="14"/>
  <c r="E37" i="14"/>
  <c r="F37" i="14"/>
  <c r="G37" i="14"/>
  <c r="H37" i="14"/>
  <c r="I37" i="14"/>
  <c r="J37" i="14"/>
  <c r="C37" i="14"/>
  <c r="D34" i="14"/>
  <c r="E34" i="14"/>
  <c r="F34" i="14"/>
  <c r="G34" i="14"/>
  <c r="H34" i="14"/>
  <c r="I34" i="14"/>
  <c r="J34" i="14"/>
  <c r="C34" i="14"/>
  <c r="D39" i="14"/>
  <c r="E39" i="14"/>
  <c r="F39" i="14"/>
  <c r="G39" i="14"/>
  <c r="H39" i="14"/>
  <c r="I39" i="14"/>
  <c r="J39" i="14"/>
  <c r="D38" i="14"/>
  <c r="E38" i="14"/>
  <c r="F38" i="14"/>
  <c r="G38" i="14"/>
  <c r="H38" i="14"/>
  <c r="I38" i="14"/>
  <c r="J38" i="14"/>
  <c r="D36" i="14"/>
  <c r="E36" i="14"/>
  <c r="F36" i="14"/>
  <c r="G36" i="14"/>
  <c r="H36" i="14"/>
  <c r="I36" i="14"/>
  <c r="J36" i="14"/>
  <c r="J35" i="14"/>
  <c r="D35" i="14"/>
  <c r="E35" i="14"/>
  <c r="F35" i="14"/>
  <c r="G35" i="14"/>
  <c r="H35" i="14"/>
  <c r="I35" i="14"/>
  <c r="D33" i="14"/>
  <c r="E33" i="14"/>
  <c r="F33" i="14"/>
  <c r="G33" i="14"/>
  <c r="H33" i="14"/>
  <c r="I33" i="14"/>
  <c r="J33" i="14"/>
  <c r="C33" i="14"/>
  <c r="C35" i="14"/>
  <c r="C36" i="14"/>
  <c r="C38" i="14"/>
  <c r="C39" i="14"/>
  <c r="D32" i="14"/>
  <c r="E32" i="14"/>
  <c r="F32" i="14"/>
  <c r="G32" i="14"/>
  <c r="H32" i="14"/>
  <c r="I32" i="14"/>
  <c r="J32" i="14"/>
  <c r="C32" i="14"/>
  <c r="D28" i="14"/>
  <c r="E28" i="14"/>
  <c r="F28" i="14"/>
  <c r="G28" i="14"/>
  <c r="H28" i="14"/>
  <c r="I28" i="14"/>
  <c r="J28" i="14"/>
  <c r="D27" i="14"/>
  <c r="E27" i="14"/>
  <c r="F27" i="14"/>
  <c r="G27" i="14"/>
  <c r="H27" i="14"/>
  <c r="I27" i="14"/>
  <c r="J27" i="14"/>
  <c r="D26" i="14"/>
  <c r="E26" i="14"/>
  <c r="F26" i="14"/>
  <c r="G26" i="14"/>
  <c r="H26" i="14"/>
  <c r="I26" i="14"/>
  <c r="J26" i="14"/>
  <c r="C28" i="14"/>
  <c r="C27" i="14"/>
  <c r="C26" i="14"/>
  <c r="D25" i="14"/>
  <c r="E25" i="14"/>
  <c r="F25" i="14"/>
  <c r="G25" i="14"/>
  <c r="H25" i="14"/>
  <c r="I25" i="14"/>
  <c r="J25" i="14"/>
  <c r="D24" i="14"/>
  <c r="E24" i="14"/>
  <c r="F24" i="14"/>
  <c r="G24" i="14"/>
  <c r="H24" i="14"/>
  <c r="I24" i="14"/>
  <c r="J24" i="14"/>
  <c r="D23" i="14"/>
  <c r="E23" i="14"/>
  <c r="F23" i="14"/>
  <c r="G23" i="14"/>
  <c r="H23" i="14"/>
  <c r="I23" i="14"/>
  <c r="J23" i="14"/>
  <c r="C25" i="14"/>
  <c r="C24" i="14"/>
  <c r="C23" i="14"/>
  <c r="E20" i="14"/>
  <c r="F20" i="14"/>
  <c r="G20" i="14"/>
  <c r="H20" i="14"/>
  <c r="I20" i="14"/>
  <c r="J20" i="14"/>
  <c r="E21" i="14"/>
  <c r="F21" i="14"/>
  <c r="G21" i="14"/>
  <c r="H21" i="14"/>
  <c r="I21" i="14"/>
  <c r="J21" i="14"/>
  <c r="D22" i="14"/>
  <c r="E22" i="14"/>
  <c r="F22" i="14"/>
  <c r="G22" i="14"/>
  <c r="H22" i="14"/>
  <c r="I22" i="14"/>
  <c r="J22" i="14"/>
  <c r="D21" i="14"/>
  <c r="C22" i="14"/>
  <c r="C21" i="14"/>
  <c r="C20" i="14"/>
  <c r="D16" i="14"/>
  <c r="E16" i="14"/>
  <c r="F16" i="14"/>
  <c r="G16" i="14"/>
  <c r="H16" i="14"/>
  <c r="I16" i="14"/>
  <c r="J16" i="14"/>
  <c r="J15" i="14"/>
  <c r="J14" i="14"/>
  <c r="J13" i="14"/>
  <c r="I15" i="14"/>
  <c r="I14" i="14"/>
  <c r="I13" i="14"/>
  <c r="H15" i="14"/>
  <c r="H14" i="14"/>
  <c r="H13" i="14"/>
  <c r="G15" i="14"/>
  <c r="G14" i="14"/>
  <c r="G13" i="14"/>
  <c r="F15" i="14"/>
  <c r="F14" i="14"/>
  <c r="F13" i="14"/>
  <c r="E15" i="14"/>
  <c r="E14" i="14"/>
  <c r="D15" i="14"/>
  <c r="D14" i="14"/>
  <c r="E13" i="14"/>
  <c r="D13" i="14"/>
  <c r="C15" i="14"/>
  <c r="C14" i="14"/>
  <c r="C13" i="14"/>
  <c r="H11" i="2"/>
  <c r="H11" i="13"/>
  <c r="H8" i="13"/>
  <c r="H12" i="7"/>
  <c r="H11" i="7"/>
  <c r="H7" i="7"/>
  <c r="H12" i="6"/>
  <c r="H10" i="6"/>
  <c r="H7" i="6"/>
  <c r="H12" i="4"/>
  <c r="H11" i="4"/>
  <c r="H9" i="4"/>
  <c r="H12" i="5"/>
  <c r="H10" i="5"/>
  <c r="H7" i="5"/>
  <c r="H12" i="9"/>
  <c r="H10" i="9"/>
  <c r="H6" i="9"/>
  <c r="H12" i="3"/>
  <c r="H7" i="3"/>
  <c r="H61" i="1"/>
  <c r="H41" i="1"/>
  <c r="H16" i="1"/>
  <c r="M5" i="14"/>
  <c r="N5" i="14"/>
  <c r="O5" i="14"/>
  <c r="P5" i="14"/>
  <c r="Q5" i="14"/>
  <c r="R5" i="14"/>
  <c r="S5" i="14"/>
  <c r="L5" i="14"/>
  <c r="S4" i="14"/>
  <c r="R4" i="14"/>
  <c r="Q4" i="14"/>
  <c r="P4" i="14"/>
  <c r="O4" i="14"/>
  <c r="N4" i="14"/>
  <c r="M4" i="14"/>
  <c r="L4" i="14"/>
  <c r="S3" i="14"/>
  <c r="R3" i="14"/>
  <c r="Q3" i="14"/>
  <c r="P3" i="14"/>
  <c r="O3" i="14"/>
  <c r="N3" i="14"/>
  <c r="M3" i="14"/>
  <c r="L3" i="14"/>
</calcChain>
</file>

<file path=xl/sharedStrings.xml><?xml version="1.0" encoding="utf-8"?>
<sst xmlns="http://schemas.openxmlformats.org/spreadsheetml/2006/main" count="5681" uniqueCount="881">
  <si>
    <t>Eixos</t>
  </si>
  <si>
    <t>Tópicos</t>
  </si>
  <si>
    <t>Códigos</t>
  </si>
  <si>
    <t>Indicadores</t>
  </si>
  <si>
    <t>Descrição</t>
  </si>
  <si>
    <t>Classificação</t>
  </si>
  <si>
    <t>Pontuação</t>
  </si>
  <si>
    <t>Environmental (Ambiental)</t>
  </si>
  <si>
    <t>Compliance</t>
  </si>
  <si>
    <t>GE 01</t>
  </si>
  <si>
    <t>Licenciamento ambiental</t>
  </si>
  <si>
    <t>A indústria não possui licenças ambientais para uma ou mais das atividades que realiza, ou há licenças vencidas</t>
  </si>
  <si>
    <t>Não conforme</t>
  </si>
  <si>
    <t>A indústria possui licença ambiental em vigor para todas as atividades realizadas e sujeitas ao licenciamento ambiental.</t>
  </si>
  <si>
    <t>Iniciante</t>
  </si>
  <si>
    <t>Além de atender ao nível anterior, a indústria dispõe de um método ativo de monitoramento para cumprimento das condições, restrições e prazos estabelecidos nos documentos.</t>
  </si>
  <si>
    <t>Sensibilizada</t>
  </si>
  <si>
    <t>Além de atender ao nível anterior, a indústria realiza periodicamente a determinação dos requisitos legais ambientais aplicáveis a suas atividades, atualizando este levantamento com periodicidade predefinida.</t>
  </si>
  <si>
    <t>Consciente</t>
  </si>
  <si>
    <t>Além de atender ao nível anterior, a indústria realiza auditorias internas com o objetivo de verificar a conformidade dos requisitos legais e outros requisitos aplicáveis às suas atividades.</t>
  </si>
  <si>
    <t>Engajada</t>
  </si>
  <si>
    <t>GE 02</t>
  </si>
  <si>
    <t>Cadastro Técnico Federal (IBAMA) e TCFA</t>
  </si>
  <si>
    <t>A indústria não possui Certificado de Regularidade (CR) do IBAMA válido para todas as suas unidades controladas</t>
  </si>
  <si>
    <t>A indústria possui certificado de Regularidade (CR) do IBAMA válido para todas as suas unidades controladas.</t>
  </si>
  <si>
    <t>Além de atender ao nível anterior, a indústria possui Certidão Negativa de Débitos (CND) do IBAMA válida para todas as suas unidades controladas.</t>
  </si>
  <si>
    <t>Além de atender ao nível anterior, a indústria avalia o Certificado de Regularidade (CR) de sua cadeia de valor (fornecedores e terceirizados regulares) no processo de homologação, devendo este estar em conformidade para que o fornecimento seja autorizado.</t>
  </si>
  <si>
    <t>GE 03</t>
  </si>
  <si>
    <t>Outorga de uso da água</t>
  </si>
  <si>
    <t>A indústria não possui Outorga de Uso da Água emitida para todas as atividades de captação.</t>
  </si>
  <si>
    <t>A indústria possui Outorga de Uso da Água para todas as atividades de captação e/ou lançamento, ou cadastro de regularização provisória na forma da lei e normas ambientais aplicáveis.</t>
  </si>
  <si>
    <t>Conforme</t>
  </si>
  <si>
    <t>GE 04</t>
  </si>
  <si>
    <t>Histórico de responsabilizações administrativas, cíveis e criminais ambientais</t>
  </si>
  <si>
    <t>A indústria foi condenada, com trânsito em julgado, em processo administrativo ou judicial em matéria ambiental, pelo cometimento de infração e/ou ato ilícito, estando inadimplente com as obrigações decorrentes da condenação ou, caso esteja adimplente, a condenação diz respeito a danos ambientais graves. A inadimplência de compromissos pactuados em Termos de Ajustamento de Conduta ou instrumentos similares também caracteriza não conformidade, bem como a falta de entrega da relação de processos ativos</t>
  </si>
  <si>
    <t>A indústria foi condenada, com trânsito em julgado, em processo ambiental, mas está adimplente com as obrigações decorrentes de sua condenação, como o pagamento de multas. A execução de projetos de recuperação de áreas degradadas, também será considerada conforme, desde que em dia com o cumprimento do cronograma, assim como a celebração de Termos de Ajustamento de Conduta ou instrumentos similares e que estão sendo tempestivamente cumpridos.</t>
  </si>
  <si>
    <t>A indústria não foi condenada, com trânsito em julgado, em processo administrativo ou judicial, cível e criminal, em matéria ambiental, nos últimos 02 (dois) anos, a contar da data de celebração do Termo de Adesão ou de Recertificação do Programa. A relação de processos ativos foi entregue.</t>
  </si>
  <si>
    <t>Energia</t>
  </si>
  <si>
    <t>GE 05</t>
  </si>
  <si>
    <t>Gestão energética</t>
  </si>
  <si>
    <t>A indústria não monitora o consumo de energia elétrica por suas unidades controladas, nem o consumo de combustíveis por máquinas, equipamentos e veículos de sua frota própria</t>
  </si>
  <si>
    <t>A indústria monitora o consumo de energia elétrica por suas unidades controladas, bem como o consumo de combustíveis por máquinas, equipamentos e veículos de sua frota própria.</t>
  </si>
  <si>
    <t>Além de atender ao nível anterior, a indústria estabelece metas de eficiência energética, tanto para energia elétrica, quanto para combustíveis.</t>
  </si>
  <si>
    <t>Além de atender ao nível anterior, a indústria possui registros e/ou relatórios de melhorias implementadas para aumento da eficiência energética.</t>
  </si>
  <si>
    <t>Além de atender ao nível anterior, ao menos uma unidade controlada pela indústria possui selos que comprovam a eficiência energética em suas instalações, tais como LEED, Aqua ou similares.</t>
  </si>
  <si>
    <t>GE 06</t>
  </si>
  <si>
    <t>Energia renovável</t>
  </si>
  <si>
    <t>A indústria consome 100% de sua energia elétrica no mercado cativo, não fazendo uso de autogeração solar, eólica ou biomassa, nem adquirindo RECs.</t>
  </si>
  <si>
    <t>Entre 1% e 25% da energia elétrica consumida pela empresa é oriunda de energia solar, eólica, biomassa ou hidrogênio verde, seja por meio de autogeração seja por aquisição no ambiente de contratação livre.</t>
  </si>
  <si>
    <t>Entre 26% e 50% da energia elétrica consumida pela empresa é oriunda de energia solar, eólica, biomassa ou hidrogênio verde, seja por meio de autogeração, seja por aquisição no ambiente de contratação livre.</t>
  </si>
  <si>
    <t>Entre 51% e 75% da energia elétrica consumida pela empresa é oriunda de energia solar, eólica, biomassa ou hidrogênio verde, seja por meio de autogeração seja por aquisição no ambiente de contratação livre.</t>
  </si>
  <si>
    <t>Entre 76% e 100% da energia elétrica consumida pela empresa é oriunda de energia solar, eólica, biomassa ou hidrogênio verde, seja por meio de autogeração, seja por aquisição no ambiente de contratação livre.</t>
  </si>
  <si>
    <t>Água e efluentes</t>
  </si>
  <si>
    <t>GE 07</t>
  </si>
  <si>
    <t>Gestão hídrica</t>
  </si>
  <si>
    <t>A indústria não monitora o consumo de água, por tipo de fonte.</t>
  </si>
  <si>
    <t>A indústria monitora o consumo de água, por tipo de fonte.</t>
  </si>
  <si>
    <t>Além de atender ao nível anterior, a indústria estabelece metas de redução de consumo.</t>
  </si>
  <si>
    <t>Além de atender ao nível anterior, a indústria possui registros e/ou relatórios de melhorias implementadas para redução do consumo.</t>
  </si>
  <si>
    <t>Além de atender ao nível anterior, a indústria possui tecnologias implementadas para a reutilização e/ou reaproveitamento de água (exemplos: cisternas para captação de água da chuva, e tratamento de efluentes indústrias em ciclo fechado, com reuso).</t>
  </si>
  <si>
    <t>GE 08</t>
  </si>
  <si>
    <t>Efluentes líquidos industriais</t>
  </si>
  <si>
    <t>A indústria não possui sistema de monitoramento dos efluentes líquidos industriais gerados, ou os dados indicam não atendimento aos padrões de lançamento aplicáveis, de forma reiterada</t>
  </si>
  <si>
    <t>A indústria possui sistema de monitoramento contínuo dos efluentes líquidos industriais gerados, com - no mínimo - vazão, padrões de lançamento aplicáveis e resultados das análises periódicas, com verificação do atendimento habitual.</t>
  </si>
  <si>
    <t>Além de atender ao nível anterior, a indústria estabelece metas de redução dos efluentes gerados, bem como possui evidências de ações visando à redução.</t>
  </si>
  <si>
    <t>A indústria reaproveita/recicla 100% dos efluentes líquidos industriais gerados, em suas próprias atividades ou mediante parcerias com outras indústrias.</t>
  </si>
  <si>
    <t>GE 09</t>
  </si>
  <si>
    <t>Efluentes líquidos sanitários</t>
  </si>
  <si>
    <t>A indústria não possui sistema de monitoramento dos efluentes líquidos sanitários gerados, ou o sistema aponta não atendimento aos padrões de lançamento aplicáveis, de forma reiterada, sem dispor a indústria de evidências de que está realizando ações para regularizar a situação.</t>
  </si>
  <si>
    <t>A indústria possui sistema de monitoramento contínuo dos efluentes líquidos sanitários gerados, com – no mínimo – vazão, padrões de lançamento aplicáveis, resultados das análises periódicas (frequência mínima anual) e verificação do atendimento. Contudo, um ou mais do(s) parâmetro(s) não está(ão) em conformidade com os padrões de lançamento aplicáveis, dispondo a indústria de evidências de que está realizando ações para regularizar a situação.</t>
  </si>
  <si>
    <t>A indústria possui sistema de monitoramento contínuo dos efluentes líquidos sanitários gerados, com – no mínimo – vazão, padrões de lançamento aplicáveis, possui resultados das análises periódicas (frequência mínima anual) e verificação do atendimento, estando os padrões de lançamento em conformidade com as normas aplicáveis.</t>
  </si>
  <si>
    <t>GE 10</t>
  </si>
  <si>
    <t>Gestão de resíduos sólidos</t>
  </si>
  <si>
    <t>A indústria não elaborou e/ou não implementou o PGRS, conforme o conteúdo mínimo exigido na PNRS, e/ou o plano está desatualizado e/ou não possui responsável técnico habilitado, quando exigido por Lei.</t>
  </si>
  <si>
    <t>A indústria elaborou e implementou PGRS, conforme o conteúdo mínimo exigido na PNRS. O plano é atualizado periodicamente e possui responsável técnico devidamente habilitado para a função, quando exigido por Lei.</t>
  </si>
  <si>
    <t>Além de atender ao nível anterior, a indústria possui um sistema de metas para redução da geração de resíduos, sujeito ao monitoramento contínuo.</t>
  </si>
  <si>
    <t>Além de atender ao nível anterior, a indústria apresentou projetos concluídos e/ou em andamento para reutilização e/ou reciclagem de resíduos.</t>
  </si>
  <si>
    <t>GE 11</t>
  </si>
  <si>
    <t>Armazenamento de resíduos sólidos</t>
  </si>
  <si>
    <t>A indústria não armazena os resíduos sólidos industriais em conformidade com as Normas ABNT NBR 11.174:1990 e 12.235:1992</t>
  </si>
  <si>
    <t>A indústria armazena os resíduos sólidos gerados de forma adequada, respeitando as Normas ABNT NBR 11.174:1990 e 12.235:1992.</t>
  </si>
  <si>
    <t>GE 12</t>
  </si>
  <si>
    <t>Destinação de resíduos sólidos</t>
  </si>
  <si>
    <t>A indústria não registra e/ou não monitora regularidade do transporte e da destinação de resíduos sólidos industriais.</t>
  </si>
  <si>
    <t>A indústria registra e monitora a destinação de resíduos sólidos industriais. Todo o trânsito de resíduos é coberto por MTR – Manifesto de Transporte de Resíduos, e não há destinação para receptores sem o devido licenciamento ambiental.</t>
  </si>
  <si>
    <t>Além de atender ao nível anterior, a indústria dispõe, no máximo, 50% dos seus rejeitos em aterros, possuindo metas para zerar este tipo de disposição até 2030.</t>
  </si>
  <si>
    <t>Além de atender ao nível anterior, a indústria é uma companhia “Zero Aterro” não dispondo nenhum de seus resíduos em aterros.</t>
  </si>
  <si>
    <t>GE 13</t>
  </si>
  <si>
    <t>Inventário de emissões de gases de efeito estufa</t>
  </si>
  <si>
    <t>A indústria não elabora Inventário de Emissões de GEE</t>
  </si>
  <si>
    <t>A indústria quantifica anualmente suas fontes de emissão de Gases de Efeito Estufa, mas de forma incompleta, não realizando o inventário de todas as fontes de emissão presentes em suas operações nos escopos 1 e 2.</t>
  </si>
  <si>
    <t>A indústria quantifica anualmente suas fontes de emissão de Gases de Efeito Estufa de forma completa, realizando o inventário de todas as fontes de emissão presentes em suas operações nos escopos 1 e 2.</t>
  </si>
  <si>
    <t>Além de atender ao nível anterior, a indústria realiza o diagnóstico de uma ou mais categorias de emissões indiretas (Escopo 3)</t>
  </si>
  <si>
    <t>Além de atender ao nível anterior, a indústria realiza a publicação no Registro Público de Emissões, possuindo o selo Ouro do Programa Brasileiro GHG Protocol.</t>
  </si>
  <si>
    <t>GE 14</t>
  </si>
  <si>
    <t>Gestão das emissões de gases de efeito estufa</t>
  </si>
  <si>
    <t>A indústria não define metas e indicadores relacionados à geração de emissões de GEE, além de não possuir projetos de redução ou compensação (neutralização).</t>
  </si>
  <si>
    <t>A indústria define metas e indicadores relacionados à geração de emissões de GEE, e possui projetos de redução ou compensação (neutralização).</t>
  </si>
  <si>
    <t>Além de atender ao nível anterior, a indústria possui evidências de ações realizadas para a redução das emissões</t>
  </si>
  <si>
    <t>Além de atender ao nível anterior, a indústria compensa (neutraliza) anualmente as suas emissões.</t>
  </si>
  <si>
    <t>Social</t>
  </si>
  <si>
    <t>GS 01</t>
  </si>
  <si>
    <t>Certidão Negativa de Débitos Trabalhistas</t>
  </si>
  <si>
    <t>A indústria não possui certidão negativa de débitos trabalhistas.</t>
  </si>
  <si>
    <t>A indústria possui certidão negativa de débitos trabalhistas.</t>
  </si>
  <si>
    <t>GS 02</t>
  </si>
  <si>
    <t>Certidão Negativa de Regularidade Fiscal</t>
  </si>
  <si>
    <t>A indústria não possui certidão negativa de regularidade fiscal.</t>
  </si>
  <si>
    <t>A indústria possui certidão negativa de regularidade fiscal.</t>
  </si>
  <si>
    <t>GS 03</t>
  </si>
  <si>
    <t>Registro de Funcionários</t>
  </si>
  <si>
    <t>A indústria não assegura que a contratação e o registro dos colaboradores estão de acordo com a legislação vigente.</t>
  </si>
  <si>
    <t>A indústria assegura que a contratação e o registro dos colaboradores estão de acordo com a legislação vigente.</t>
  </si>
  <si>
    <t>GS 04</t>
  </si>
  <si>
    <t>Certificado de Regularidade – Corpo de Bombeiros</t>
  </si>
  <si>
    <t>A indústria não possui Certificado de Conformidade emitido pelo Corpo de Bombeiros.</t>
  </si>
  <si>
    <t>A indústria possui Certificado de Regularidade emitido pelo Corpo de Bombeiros.</t>
  </si>
  <si>
    <t>GS 05</t>
  </si>
  <si>
    <t>Programa de Gerenciamento de Riscos (PGR)</t>
  </si>
  <si>
    <t>A indústria não possui PPRA ou Programa de Gerenciamento de Riscos (substitutivo do PPRA).</t>
  </si>
  <si>
    <t>A indústria possui PPRA ou Programa de Gerenciamento de Riscos (substitutivo do PPRA).</t>
  </si>
  <si>
    <t>GS 06</t>
  </si>
  <si>
    <t>Alvarás Sanitários e de Funcionamento</t>
  </si>
  <si>
    <t>A indústria não possui alvará de funcionamento e sanitários, caso aplicável.</t>
  </si>
  <si>
    <t>A indústria possui alvará de funcionamento e sanitários, caso aplicável.</t>
  </si>
  <si>
    <t>GS 07</t>
  </si>
  <si>
    <t>Programa de Controle Médico de Saúde Ocupacional (PCMSO)</t>
  </si>
  <si>
    <t>A indústria não possui Programa de Controle Médico de Saúde Ocupacional (PCMSO).</t>
  </si>
  <si>
    <t>A indústria possui Programa de Controle Médico de Saúde Ocupacional (PCMSO).</t>
  </si>
  <si>
    <t>GS 08</t>
  </si>
  <si>
    <t>Inexistência de trabalho infantil, forçado ou análogo ao escravo</t>
  </si>
  <si>
    <t>A indústria utiliza trabalho infantil, forçado, escravo ou análogo ao escravo.</t>
  </si>
  <si>
    <t>A indústria não utiliza trabalho infantil, forçado, escravo ou análogo ao escravo.</t>
  </si>
  <si>
    <t>Além de atender ao nível anterior, a indústria formalizou o compromisso com o combate ao trabalho infantil, forçado, escravo ou em condições análogas à de escravidão, e divulga este compromisso para os colaboradores.</t>
  </si>
  <si>
    <t>Além de atender ao nível anterior, a indústria possui mecanismos para monitorar e combater utilização de mão de obra infantil, forçada, escrava ou análoga, em sua cadeia de valor (fornecedores e terceirizados).</t>
  </si>
  <si>
    <t>Além de atender ao nível anterior, a indústria é signatária de iniciativas que visam ao combate do trabalho infantil e à preservação dos direitos humanos, tais como o Pacto Global da ONU</t>
  </si>
  <si>
    <t>GS 09</t>
  </si>
  <si>
    <t>Trabalho estrangeiro</t>
  </si>
  <si>
    <t>A indústria utiliza trabalho estrangeiro sem registros nem contratos na forma da legislação aplicável.</t>
  </si>
  <si>
    <t>A indústria utiliza trabalho estrangeiro e todos os colaboradores estão registrados e contratados em conformidade com a Lei.</t>
  </si>
  <si>
    <t>GS 10</t>
  </si>
  <si>
    <t>Assédio e Abuso</t>
  </si>
  <si>
    <t>Há queixas e evidências de algum tipo de assédio, além de práticas disciplinares abusivas.</t>
  </si>
  <si>
    <t>Não há relatos da existência de qualquer tipo de assédio, nem práticas disciplinares abusivas.</t>
  </si>
  <si>
    <t>Além de atender ao nível anterior, a indústria possui canais formais e independentes para o recebimento de denúncias relacionadas a assédio e/ou a abuso.</t>
  </si>
  <si>
    <t>Além de atender ao nível anterior, a indústria realiza, com periodicidade no mínimo bianual, treinamentos de todos os colaboradores para prevenção de assédios e abusos.</t>
  </si>
  <si>
    <t>GS 11</t>
  </si>
  <si>
    <t>Acordo Coletivo de Trabalho (ACT)</t>
  </si>
  <si>
    <t>A indústria possui menos de 80% dos colaboradores amparados por Acordo Coletivo de Trabalho (ACT).</t>
  </si>
  <si>
    <t>A indústria possui mais de 80% dos colaboradores amparados por Acordo Coletivo de Trabalho (ACT).</t>
  </si>
  <si>
    <t>Além de atender ao nível anterior, a indústria garante formalmente, em seu Código de Ética, Conduta ou outro documento, a proteção e a não discriminação dos representantes dos trabalhadores perante os sindicatos. O documento é divulgado aos colaboradores.</t>
  </si>
  <si>
    <t>Além de atender ao nível anterior, a indústria possui canais de comunicação e estabelece diálogos periódicos com os sindicatos.</t>
  </si>
  <si>
    <t>Saúde e Segurança do Trabalho</t>
  </si>
  <si>
    <t>GS 12</t>
  </si>
  <si>
    <t>Equipamentos de Proteção Individual (EPI)</t>
  </si>
  <si>
    <t>A indústria não disponibiliza os EPIs necessários à atividade.</t>
  </si>
  <si>
    <t>A indústria fornece os EPIs necessários à atividade.</t>
  </si>
  <si>
    <t>Além de atender ao nível anterior, a indústria registra e treina os colaboradores sobre o uso adequado, guarda e conservação dos EPIs.</t>
  </si>
  <si>
    <t>GS 13</t>
  </si>
  <si>
    <t>Saúde e Segurança Ocupacional</t>
  </si>
  <si>
    <t>A indústria não possui Comissão Interna de Prevenção de Acidentes (CIPA) atuante e não realiza anualmente a Semana Interna de Prevenção de Acidentes do Trabalho (SIPAT).</t>
  </si>
  <si>
    <t>A indústria possui Comissão Interna de Prevenção de Acidentes (CIPA) atuante e realiza anualmente a Semana Interna de Prevenção de Acidentes do Trabalho (SIPAT).</t>
  </si>
  <si>
    <t>Além de atender ao nível anterior, a indústria divulga cuidados e prevenção com relação à saúde e a segurança no trabalho, utilizando folders, banners, quadros e outros.</t>
  </si>
  <si>
    <t>Além de atender ao critério do nível anterior, a indústria possui programas de ginástica laboral, ergonomia, orientação alimentar ou similares.</t>
  </si>
  <si>
    <t>GS 14</t>
  </si>
  <si>
    <t>Condição das Instalações</t>
  </si>
  <si>
    <t>As instalações estão em más condições de conservação, higiene e limpeza, ou subdimensionadas, oferecendo riscos aos colaboradores ou estão em desacordo com a legislação.</t>
  </si>
  <si>
    <t>As instalações estão em boas condições de conservação, higiene e limpeza, além de dimensionadas adequadamente, não oferecendo riscos aos colaboradores e estão em conformidade com a legislação.</t>
  </si>
  <si>
    <t>Além de atender ao nível anterior, a indústria oferece espaços de descanso e lazer aos colaboradores.</t>
  </si>
  <si>
    <t>GS 15</t>
  </si>
  <si>
    <t>Diversidade</t>
  </si>
  <si>
    <t>A indústria não define formalmente, por meio de documentos e/ou políticas, seu posicionamento de repúdio contra qualquer forma de discriminação motivada por etnia, gênero, orientação sexual, identidade de gênero, religiões e outros.</t>
  </si>
  <si>
    <t>A indústria define formalmente, por meio de documentos e/ou políticas, seu posicionamento de repúdio contra qualquer forma de discriminação motivada por etnia, gênero, orientação sexual, identidade de gênero, religião e outros.</t>
  </si>
  <si>
    <t>Além de atender ao nível anterior, a indústria monitora a diversidade no quadro de colaboradores e promove campanhas de conscientização interna sobre diversidade.</t>
  </si>
  <si>
    <t>Além de atender ao nível anterior, a indústria tem metas para reduzir as diferenças entre as desigualdades em, ao menos, um dos grupos minoritários.</t>
  </si>
  <si>
    <t>Além de atender ao nível anterior, a indústria possui um programa estruturado para garantia da diversidade e inclusão de grupos minoritários.</t>
  </si>
  <si>
    <t>GS 16</t>
  </si>
  <si>
    <t>Liderança Feminina</t>
  </si>
  <si>
    <t>A indústria possui menos de 20% de mulheres em cargos de liderança.</t>
  </si>
  <si>
    <t>A indústria possui entre 20% e 30% de mulheres em cargos de liderança.</t>
  </si>
  <si>
    <t>A indústria possui entre 31% e 50% de mulheres em cargos de liderança.</t>
  </si>
  <si>
    <t>A indústria possui mais de 51% de mulheres em cargos de liderança.</t>
  </si>
  <si>
    <t>GS 17</t>
  </si>
  <si>
    <t>Empregabilidade de pessoas com deficiência (PcD)</t>
  </si>
  <si>
    <t>A indústria não contrata pessoas portadoras de deficiência ou, caso contrate, atende apenas parcialmente a Lei de Cotas, não dispondo de justificativa razoável para o referido descumprimento.</t>
  </si>
  <si>
    <t>A indústria atende parcialmente a Lei de Cotas (art. 93 da Lei nº 8.213/91), no que diz respeito à contratação de pessoas com deficiência, e demonstra todos seus esforços e atuação proativa para o alcance da meta.</t>
  </si>
  <si>
    <t>A indústria atende integralmente a Lei de Cotas (art. 93 da Lei nº 8.213/91) no que diz respeito à contratação de pessoas com deficiência.</t>
  </si>
  <si>
    <t>Além de atender ao nível anterior, a indústria dispõe de uma iniciativa específica para a contratação de pessoas com deficiência, tal como um programa para contratação de PcDs, com iniciativas que vão além do cumprimento da obrigação legal</t>
  </si>
  <si>
    <t>Engajamento e satisfação dos colaboradores</t>
  </si>
  <si>
    <t>GS 18</t>
  </si>
  <si>
    <t>Benefícios</t>
  </si>
  <si>
    <t>A indústria não oferece os benefícios solicitados pela legislação vigente.</t>
  </si>
  <si>
    <t>A indústria oferece apenas benefícios solicitados pela legislação vigente.</t>
  </si>
  <si>
    <t>A indústria oferece benefícios adicionais aos solicitados pela legislação vigente, tais como plano odontológico, auxílio à educação etc.</t>
  </si>
  <si>
    <t>Além de atender ao nível anterior, a indústria consulta os funcionários quanto à sua satisfação em relação às políticas e às práticas de remuneração e de benefícios, por meio de pesquisas de clima ou similares, com regularidade, no mínimo, bianual.</t>
  </si>
  <si>
    <t>GS 19</t>
  </si>
  <si>
    <t>Remuneração</t>
  </si>
  <si>
    <t>A indústria não paga o piso salarial da categoria.</t>
  </si>
  <si>
    <t>A indústria paga o piso salarial da categoria</t>
  </si>
  <si>
    <t>A indústria paga salários superiores ao piso salarial das categorias.</t>
  </si>
  <si>
    <t>A indústria paga salários superiores ao piso salarial das categorias, além de possuir política formalizada de Gestão, Cargos e Salários, ou similar.</t>
  </si>
  <si>
    <t>Além de atender ao nível anterior, a indústria possui um programa de participação nos lucros.</t>
  </si>
  <si>
    <t>GS 20</t>
  </si>
  <si>
    <t>Clima Organizacional</t>
  </si>
  <si>
    <t>A indústria não mede os índices de satisfação dos colaboradores.</t>
  </si>
  <si>
    <t>A indústria não monitora o índice de satisfação dos colaboradores, porém, eles demonstraram satisfação com o ambiente de trabalho nas entrevistas realizadas durante a auditoria</t>
  </si>
  <si>
    <t>A indústria mede os índices de satisfação de seus colaboradores frequentemente, por meio de pesquisas de clima organizacional ou similares.</t>
  </si>
  <si>
    <t>Além de atender ao nível anterior, a indústria possui metas e realiza ações visando à elevação do índice de satisfação.</t>
  </si>
  <si>
    <t>Além de atender ao nível anterior, a indústria é reconhecida por sua prática de gestão de empregados, recebendo prêmios ou selos que atestam ser um dos melhores lugares para trabalhar (exemplo: GPTW).</t>
  </si>
  <si>
    <t>GS 21</t>
  </si>
  <si>
    <t>Desenvolvimento profissional</t>
  </si>
  <si>
    <t>A indústria não oferece treinamentos regulares visando ao aprimoramento dos colaboradores em suas funções, nem mesmo as obrigatórias por Lei</t>
  </si>
  <si>
    <t>A indústria oferece somente as capacitações obrigatórias pela legislação para o exercício das atividades pelos colaboradores.</t>
  </si>
  <si>
    <t>Além do atendimento ao nível anterior, a indústria fornece capacitações e treinamentos aos colaboradores em adição aos obrigatórios por lei.</t>
  </si>
  <si>
    <t>Além do atendimento ao nível anterior, a indústria possui um programa interno de capacitação (universidade corporativa), com cronograma pré-estabelecido, ao alcance das lideranças de todos os níveis da organização.</t>
  </si>
  <si>
    <t>Além do atendimento ao nível anterior, a indústria oferece incentivos a bolsas de estudo e capacitações em instituições externas.</t>
  </si>
  <si>
    <t>Comunidades Locais</t>
  </si>
  <si>
    <t>GS 22</t>
  </si>
  <si>
    <t>Desenvolvimento Local</t>
  </si>
  <si>
    <t>A indústria não possui projetos, programas ou ações destinadas à geração de valor à comunidade, bem como impacto positivo, além de práticas de doação de bens e/ou serviços que beneficiem a comunidade</t>
  </si>
  <si>
    <t>A indústria possui projetos, programas ou ações destinadas à geração de valor e com impacto positivo à comunidade, e/ou práticas de doação de bens e/ou serviços que beneficiem a comunidade.</t>
  </si>
  <si>
    <t>Além de atender ao nível anterior, a indústria envolve seus colaboradores em projetos de voluntariado que beneficiem a comunidade local.</t>
  </si>
  <si>
    <t>Além de atender ao nível anterior, a indústria contribui com melhorias na infraestrutura ou no ambiente das comunidades locais, às quais podem ser usufruídas pela comunidade (habitações, estradas, escolas, creches, hospitais, áreas para práticas de esporte e lazer etc.).</t>
  </si>
  <si>
    <t>Além de atender ao nível anterior, a indústria possui um plano de ação de desenvolvimento local futura, apresentando continuidade dos projetos com a comunidade.</t>
  </si>
  <si>
    <t>Cadeia de Abastecimento</t>
  </si>
  <si>
    <t>GS 23</t>
  </si>
  <si>
    <t>Gestão da Cadeia de Valor</t>
  </si>
  <si>
    <t>A indústria não possui um sistema de gestão da cadeia de valor – fornecedores de matérias-primas, insumos e terceirizados (serviços de industrialização sob encomenda).</t>
  </si>
  <si>
    <t>A indústria possui um sistema de gestão da cadeia de valor, por meio do qual homologa e verifica periodicamente a conformidade legal ambiental, social e econômica, a partir de análise documental. O sistema analisa apenas fornecedores e terceirizados regulares classificados como de risco significativo.</t>
  </si>
  <si>
    <t>A indústria possui um sistema de gestão da cadeia de valor, por meio do qual homologa e verifica periodicamente a conformidade legal ambiental, social e econômica, a partir de análise documental. O sistema analisa todos os fornecedores e terceirizados regulares</t>
  </si>
  <si>
    <t>A indústria possui um sistema de gestão da cadeia de valor, por meio do qual homologa e verifica periodicamente a conformidade legal ambiental, social e econômica. O sistema analisa, numa etapa documental, todos os fornecedores e terceirizados regulares. Além disso, ocorrem periodicamente vistorias in loco, por amostragem, em fornecedores e terceirizados classificados como de risco significativo.</t>
  </si>
  <si>
    <t>Clientes</t>
  </si>
  <si>
    <t>GS 24</t>
  </si>
  <si>
    <t>Satisfação dos clientes</t>
  </si>
  <si>
    <t>A indústria não mede os índices de satisfação dos clientes.</t>
  </si>
  <si>
    <t>A indústria tem mecanismos para receber feedbacks e reclamações dos clientes, além de possuir rotinas estabelecidas para a tratativa destas demandas.</t>
  </si>
  <si>
    <t>Além de atender ao nível anterior, a indústria monitora sistematicamente o índice de satisfação de seus clientes e a qualidade de seu atendimento.</t>
  </si>
  <si>
    <t>Além de atender ao nível anterior, a indústria divulga publicamente indicadores relacionados à solução das demandas apresentadas pelos clientes.</t>
  </si>
  <si>
    <t>Além de atender ao nível anterior, a indústria possui selos e/ou certificações que chancelam o alto nível de satisfação de seus clientes, como por exemplo: Reclame Aqui etc.</t>
  </si>
  <si>
    <t>Governance (Governança)</t>
  </si>
  <si>
    <t>Governança da Sustentabilidade</t>
  </si>
  <si>
    <t>GG 01</t>
  </si>
  <si>
    <t>Estrutura de governança da sustentabilidade</t>
  </si>
  <si>
    <t>A indústria não possui um Comitê de Sustentabilidade, ou – caso possua – o comitê não se reúne com periodicidade, no mínimo, semestral, para deliberar sobre gestão ESG e da sustentabilidade corporativa.</t>
  </si>
  <si>
    <t>A indústria possui Comitê de Sustentabilidade, que se reúne com periodicidade, no mínimo, semestral, para deliberar sobre gestão ESG e da sustentabilidade corporativa.</t>
  </si>
  <si>
    <t>A indústria definiu um Comitê de Sustentabilidade multidisciplinar, composto por representantes, no mínimo, das áreas administrativa, comercial e industrial, que se reúne com periodicidade, no mínimo, semestral, para deliberar sobre gestão ESG e da sustentabilidade.</t>
  </si>
  <si>
    <t>Além de atender ao disposto no nível anterior, as ações de sustentabilidade dispõem de uma rubrica própria no orçamento anual da indústria, e o órgão executivo mais elevado da companhia (Conselho de Administração, reuniões de sócios e/ou diretores) realiza análise crítica da sustentabilidade com periodicidade, no mínimo, anual.</t>
  </si>
  <si>
    <t>GG 02</t>
  </si>
  <si>
    <t>Política de sustentabilidade</t>
  </si>
  <si>
    <t>A organização não possui uma Política de Sustentabilidade instituída.</t>
  </si>
  <si>
    <t>A organização possui uma Política de Sustentabilidade instituída, porém não faz a divulgação aos colaboradores nem a outras partes interessadas.</t>
  </si>
  <si>
    <t>A organização possui uma Política de Sustentabilidade instituída e faz a divulgação aos colaboradores, porém não divulga externamente</t>
  </si>
  <si>
    <t>A organização possui uma Política de Sustentabilidade instituída, faz a capacitação do público interno e a divulgação aos públicos interno e externo</t>
  </si>
  <si>
    <t>Além de atender ao nível anterior, os colaboradores demonstram elevado grau de assimilação e compreensão nas diversas camadas da companhia (Alta Administração e níveis de gestão, intermediários e operacionais).</t>
  </si>
  <si>
    <t>GG 03</t>
  </si>
  <si>
    <t>Objetivos do Desenvolvimento Sustentável</t>
  </si>
  <si>
    <t>A indústria não define ODS prioritários.</t>
  </si>
  <si>
    <t>A indústria define ODS prioritários.</t>
  </si>
  <si>
    <t>Além de atender ao nível anterior, a indústria realiza, no mínimo, 01 (um) treinamento, workshop ou evento similar, sobre ODS, direcionado às lideranças da empresa, com periodicidade anual.</t>
  </si>
  <si>
    <t>Além de atender ao nível anterior, a indústria torna público os seus ODS prioritários, por meio de seu relatório de sustentabilidade, website e/ou outros meios de comunicação massiva.</t>
  </si>
  <si>
    <t>GG 04</t>
  </si>
  <si>
    <t>Engajamento da Cadeia de Valor</t>
  </si>
  <si>
    <t>A indústria não possui metas para que toda sua cadeia de valor esteja certificada no Programa ESG-FIEMS.</t>
  </si>
  <si>
    <t>A indústria possui metas para que a sua cadeia de valor possua certificações que englobem aspectos de sustentabilidade e ESG, seja o Programa ESG-FIEMS, seja outro padrão sujeito à auditoria de terceira parte.</t>
  </si>
  <si>
    <t>A indústria definiu e está a aplicar que 50% de seus terceirizados regulares estejam certificadas no Programa ESG-FIEMS até 2025 e a totalidade (100%) até 2030. As metas são públicas, claras e amplamente comunicadas aos stakeholders.</t>
  </si>
  <si>
    <t>Além de atender ao nível anterior, a indústria incluiu, junto aos seus terceirizados, os fornecedores regulares de matérias-primas e insumos.</t>
  </si>
  <si>
    <t>A indústria definiu e está a aplicar que 100% de seus fornecedores e terceirizados regulares estejam certificados no Programa ESG-FIEMS até 2025. As metas são públicas, claras e amplamente comunicadas aos stakeholders.</t>
  </si>
  <si>
    <t>GG 05</t>
  </si>
  <si>
    <t>Ética e Conduta</t>
  </si>
  <si>
    <t>A indústria não possui um Código de Ética e Conduta instituído.</t>
  </si>
  <si>
    <t>A indústria possui um Código de Ética e Conduta instituído e aprovado pela alta direção, porém não capacita seus colaboradores sobre o Código, apenas faz a divulgação interna</t>
  </si>
  <si>
    <t>A indústria possui um Código de Ética e Conduta instituído e aprovado pela alta direção, capacita seus colaboradores sobre o tema, porém, não realiza divulgação para o público externo.</t>
  </si>
  <si>
    <t>A indústria possui um Código de Ética e Conduta instituído e aprovado pela alta direção e capacita seus colaboradores sobre o tema, além de realizar a divulgação para o público externo.</t>
  </si>
  <si>
    <t>GG 06</t>
  </si>
  <si>
    <t>Concorrência Leal</t>
  </si>
  <si>
    <t>A indústria não possui uma Política de Concorrência Leal instituída.</t>
  </si>
  <si>
    <t>A indústria possui uma Política de Concorrência Leal instituída.</t>
  </si>
  <si>
    <t>Além de atender ao nível anterior, a indústria capacita os colaboradores que desempenham atividades correlacionadas aos riscos de violação da legislação e da política de concorrência leal.</t>
  </si>
  <si>
    <t>Além de atender ao nível anterior, a indústria dissemina com a sua cadeia de valor a sua Política de Concorrência Leal, engajando fornecedores e terceirizados a adotar boas práticas em relação a este tema.</t>
  </si>
  <si>
    <t>GG 07</t>
  </si>
  <si>
    <t>Anticorrupção e Antissuborno</t>
  </si>
  <si>
    <t>A indústria não possui uma Política Anticorrupção e Antissuborno instituída.</t>
  </si>
  <si>
    <t>A indústria possui uma Política Anticorrupção e Antissuborno instituída, porém não capacita os colaboradores sobre o tema.</t>
  </si>
  <si>
    <t>A indústria possui uma Política Anticorrupção e Antissuborno instituída, capacita os colaboradores que desempenham atividades correlacionadas que ofereçam risco significativo à violação destas normas, e realiza a divulgação para a cadeia de valor.</t>
  </si>
  <si>
    <t>Além de atender ao nível anterior, a indústria divulga publicamente sua Política Anticorrupção e Antissuborno, por meio de seu site ou outros meios de comunicação massiva</t>
  </si>
  <si>
    <t>GG 08</t>
  </si>
  <si>
    <t>Lei Geral de Proteção de Dados (LGPD)</t>
  </si>
  <si>
    <t>A indústria não dispõe de política corporativa e procedimentos com a finalidade de garantir que as informações pessoais sejam tratadas em conformidade com a legislação de proteção de dados pessoais.</t>
  </si>
  <si>
    <t>A indústria dispõe de política corporativa e procedimentos com a finalidade de garantir que as informações pessoais sejam tratadas em conformidade com a legislação de proteção de dados pessoais</t>
  </si>
  <si>
    <t>Além de atender ao nível anterior, a indústria realiza diagnóstico de suas atividades, mapeando não conformidades e oportunidades de melhoria em relação à LGPD, estando a elaborar e/ou executar plano de ação.</t>
  </si>
  <si>
    <t>Além de atender ao nível anterior, as ações realizadas pela indústria para conformidade com a LGPD incluem um programa de capacitação dos colaboradores acerca dos conceitos da legislação e dos riscos relacionados.</t>
  </si>
  <si>
    <t>Além de atender ao nível anterior, a indústria impõe à sua cadeia de valor a conformidade com a LGPD, realizando monitoramento em algum grau deste cumprimento (autodeclaração ou outras formas).</t>
  </si>
  <si>
    <t>Engajamento de Stakeholders</t>
  </si>
  <si>
    <t>GG 09</t>
  </si>
  <si>
    <t>Identificação e seleção dos stakeholders (partes interessadas)</t>
  </si>
  <si>
    <t>A indústria não identifica suas principais partes interessadas (stakeholders).</t>
  </si>
  <si>
    <t>A indústria identifica suas principais partes interessadas (stakeholders), registrando de forma documentada e atualizando com periodicidade, no mínimo, bianual.</t>
  </si>
  <si>
    <t>Além de atender ao nível anterior, a indústria homologa na Alta Administração (Conselho de Administração, Comitê Gestor ou outros) o mapeamento dos stakeholders e as lideranças dentro destes grupos que servirão de ponto focal para contato.</t>
  </si>
  <si>
    <t>GG 10</t>
  </si>
  <si>
    <t>Engajamento de stakeholders</t>
  </si>
  <si>
    <t>A indústria não define métodos e/ou canais de comunicação para engajamento de seus stakeholders.</t>
  </si>
  <si>
    <t>A indústria tem métodos e/ou canais de comunicação para engajamento de stakeholders definidos e em execução</t>
  </si>
  <si>
    <t>Além de atender ao nível anterior, os resultados do engajamento com um ou mais grupos de partes interessadas são analisados de forma sistemática, interpretados e relatados à alta administração.</t>
  </si>
  <si>
    <t>GG 11</t>
  </si>
  <si>
    <t>Definição do Escopo de Materialidade</t>
  </si>
  <si>
    <t>A indústria não define o seu escopo de materialidade (quais são os tópicos materiais).</t>
  </si>
  <si>
    <t>A indústria define o seu escopo de materialidade (quais são os tópicos materiais).</t>
  </si>
  <si>
    <t>Além de atender ao nível anterior, a indústria possui procedimento documentado, descrevendo a metodologia utilizada.</t>
  </si>
  <si>
    <t>Além de atender ao nível anterior, as lideranças da indústria são informadas a respeito e capacitadas a desenvolverem projetos e ações relacionados aos riscos e oportunidades decorrentes de cada tópico.</t>
  </si>
  <si>
    <t>Gestão Estratégica da Sustentabilidade</t>
  </si>
  <si>
    <t>GG 12</t>
  </si>
  <si>
    <t>Desdobramento da Política de Sustentabilidade em Metas e Indicadores</t>
  </si>
  <si>
    <t>A indústria não possui indicadores quantitativos e nem define metas para atingimento.</t>
  </si>
  <si>
    <t>A indústria possui indicadores quantitativos básicos, em ao menos 1 dos pilares ESG, mas não possui metas e não há uma vinculação com os objetivos estratégicos da Política de Sustentabilidade.</t>
  </si>
  <si>
    <t>A indústria possui indicadores quantitativos e metas, os quais estão vinculados com os objetivos estratégicos da Política de sustentabilidade.</t>
  </si>
  <si>
    <t>Além de atender ao nível anterior, a indústria dispõe de planos de ação e projetos elaborados e em execução para o alcance de ao menos 1 das metas definidas.</t>
  </si>
  <si>
    <t>Além de atender ao nível anterior, o alcance das metas reflete positivamente no programa de participação de lucros e/ou resultados da companhia, no mínimo, para os cargos de Diretoria e/ou Gerência, sendo um dos critérios de avaliação.</t>
  </si>
  <si>
    <t>GG 13</t>
  </si>
  <si>
    <t>Capacitação e Desenvolvimento das lideranças</t>
  </si>
  <si>
    <t>A indústria não realiza ações de capacitação e desenvolvimento da sustentabilidade com as suas lideranças</t>
  </si>
  <si>
    <t>A indústria realiza ações de capacitação e desenvolvimento, dentro da temática da sustentabilidade, com as suas lideranças, ainda que as ações (treinamentos, workshops) sejam conduzidas por colaboradores da própria indústria.</t>
  </si>
  <si>
    <t>Além de atender ao nível anterior, a indústria propicia e custeia aos líderes qualificação em instituições de ensino externas, ou investem na realização de eventos de capacitação com especialistas e consultorias especializadas.</t>
  </si>
  <si>
    <t>Além de atender ao nível anterior, a indústria estende o desenvolvimento à parte das lideranças de seus principais fornecedores e/ou terceirizados, que recebem treinamentos ou participam de eventos que agregam conhecimentos e possibilitam a geração de valor para ambas as partes.</t>
  </si>
  <si>
    <t>Além de atender ao nível anterior, há evidências que apontam que a cultura da sustentabilidade está consolidada em diversos dos setores e níveis hierárquicos da indústria. Entrevistas com as lideranças evidenciam que a consideração dos impactos ambientais e sociais está incorporada ao processo de tomada de decisões.</t>
  </si>
  <si>
    <t>Reporte</t>
  </si>
  <si>
    <t>GG 14</t>
  </si>
  <si>
    <t>Divulgação das práticas ESG</t>
  </si>
  <si>
    <t>A indústria não elabora informativos de práticas ESG. Como informativos podem ser entendidos materiais de marketing divulgando práticas ESG, por meio de postagens em redes sociais, materiais impressos e websites.</t>
  </si>
  <si>
    <t>A indústria elabora informativos de práticas ESG, sem periodicidade e padrão definido. Os canais utilizados são postagem em redes sociais ou menções em materiais impressos e websites</t>
  </si>
  <si>
    <t>A indústria divulga suas práticas ESG com periodicidade definida (Ex.: anual, bianual etc.), num formato consolidado e trazendo informações de natureza ambiental, social e de governança, incluindo ou não a dimensão econômica, mas sem seguir metodologia definida internacionalmente reconhecida</t>
  </si>
  <si>
    <t>A indústria divulga suas práticas ESG por meio de Relatório com periodicidade definida (ex. anual, bianual etc.), seguindo metodologias internacionalmente reconhecidas, como GRI, SASB ou IIRC.</t>
  </si>
  <si>
    <t>Além de atender ao nível anterior, o relatório é verificado por terceira parte – organismo de certificação acreditado, em conformidade com os critérios da norma aplicada.</t>
  </si>
  <si>
    <t>GG 15</t>
  </si>
  <si>
    <t>Prevenção à maquiagem verde (greenwashing)</t>
  </si>
  <si>
    <t>A indústria não possui nenhuma ação planejada de prevenção ao greenwashing.</t>
  </si>
  <si>
    <t>A indústria possui um procedimento operacional, escrito e formalizado, para prevenção ao greenwashing.</t>
  </si>
  <si>
    <t>Além de atender ao nível anterior, a indústria realiza treinamentos periódicos com os seus colaboradores da área de marketing e agências que regularmente lhe prestam serviços, para conscientização sobre greenwashing e as regras da indústria.</t>
  </si>
  <si>
    <t>Além de atender ao nível anterior, a indústria demonstra estar preparada tecnicamente para responder a acusações sobre greenwashing, seja de parte de consumidores, do poder público, seja de outros stakeholders.</t>
  </si>
  <si>
    <t>Reconhecimento</t>
  </si>
  <si>
    <t>GG 16</t>
  </si>
  <si>
    <t>Certificações e Reconhecimento</t>
  </si>
  <si>
    <t>A indústria não possui certificações e nem recebeu premiações e/ou reconhecimentos por parte de clientes ou organizações civis, relacionados à ESG ou Sustentabilidade.</t>
  </si>
  <si>
    <t>A indústria recebeu premiações e/ou reconhecimentos por parte de clientes ou organizações civis, relacionados à sustentabilidade e ESG. Ex: Fornecedor/empresa destaque em sustentabilidade.</t>
  </si>
  <si>
    <t>A indústria possui uma ou mais certificações renomadas nas áreas de ESG ou sustentabilidade, tais como: Sistema B, ISO 9001, ISO 14001, ISO 45001, ISO 37.001 e Programa Origem Sustentável.</t>
  </si>
  <si>
    <t>Governança e Estratégia</t>
  </si>
  <si>
    <t>GG 17</t>
  </si>
  <si>
    <t>Planejamento Estratégico</t>
  </si>
  <si>
    <t>A indústria não possui processo institucionalizado de planejamento estratégico.</t>
  </si>
  <si>
    <t>A indústria possui processo institucionalizado de planejamento estratégico, definindo objetivos, metas e indicadores para todos os seus pilares estratégicos.</t>
  </si>
  <si>
    <t>Além de atender ao nível anterior, a indústria incluiu a sustentabilidade como um dos pilares estratégicos da organização.</t>
  </si>
  <si>
    <t>Além de atender ao nível anterior, a indústria possui registros de análises críticas realizadas para acompanhamento dos resultados.</t>
  </si>
  <si>
    <t>GG 18</t>
  </si>
  <si>
    <t>Estrutura de governança</t>
  </si>
  <si>
    <t>A indústria não possui organograma definindo a estrutura de gestão e os níveis hierárquicos.</t>
  </si>
  <si>
    <t>A indústria possui um organograma que define a estrutura de gestão e de reporte da empresa. Este organograma é de livre acesso interno – colaboradores da companhia.</t>
  </si>
  <si>
    <t>Além de atender ao nível anterior, a indústria reporta em seu relatório de sustentabilidade o organograma, ou o disponibiliza publicamente.</t>
  </si>
  <si>
    <t>Além de atender ao nível anterior, a indústria possui procedimento estabelecido para revisão periódica da arquitetura organizacional.</t>
  </si>
  <si>
    <t>Inovação, Pesquisa e Desenvolvimento</t>
  </si>
  <si>
    <t>GG 19</t>
  </si>
  <si>
    <t>Pesquisa e Desenvolvimento (P&amp;D)</t>
  </si>
  <si>
    <t>A indústria não investe recursos em P&amp;D.</t>
  </si>
  <si>
    <t>A indústria investe recursos em P&amp;D, por meio de programas e projetos internos e/ou envolvendo parceiros externos (Universidades, instituições científicas, cadeia de valor).</t>
  </si>
  <si>
    <t>A indústria possui um setor específico de P&amp;D, com profissionais dedicados exclusivamente à atividade, e rubrica no orçamento e/ou investimentos anuais direcionados especificamente para essa temática.</t>
  </si>
  <si>
    <t>Além de atender ao nível anterior, a indústria desenvolve programas e projetos internos e/ou envolvendo parceiros externos (Universidades, instituições científicas, cadeia de valor).</t>
  </si>
  <si>
    <t>Além de atender ao nível anterior, a indústria realiza, individual ou coletivamente com outras companhias e entidades, programas de seleção e investimento para aceleração de startups, visando gerar valor, mesmo que a solução não esteja diretamente relacionada à sua área de atuação.</t>
  </si>
  <si>
    <t>GG 20</t>
  </si>
  <si>
    <t>Inovação e ESG</t>
  </si>
  <si>
    <t>A indústria não desenvolve projetos de inovação focados em impactos ambientais e/ou sociais.</t>
  </si>
  <si>
    <t>A indústria desenvolve um ou mais projetos de inovação em produtos, processos e/ou serviços, no(s) qual(is) os impactos nas dimensões ambiental e social são claramente analisados e tratados, em equilíbrio com a dimensão econômica</t>
  </si>
  <si>
    <t>Além de atender ao nível anterior, a indústria capacita os colaboradores ligados às áreas de P&amp;D e inovação, sobre as tendências e aspectos técnicos de projetos ambientais e sociais, estimulando que seus projetos e ações promovam estes conceitos.</t>
  </si>
  <si>
    <t>Além de atender ao nível anterior, a indústria possui uma política formalizada de estímulo a inovações com foco ambiental e social. Esta política deve ser direcionada não só para o público interno, mas para toda a cadeia de valor, em especial fornecedores</t>
  </si>
  <si>
    <t>Além de atender ao nível anterior, ao menos um dos projetos de inovação da indústria foi reconhecido em premiações setoriais, de clientes ou de instituições públicas e privadas renomadas.</t>
  </si>
  <si>
    <t>Insumos Químicos</t>
  </si>
  <si>
    <t>AE 01</t>
  </si>
  <si>
    <t>Substâncias restritas</t>
  </si>
  <si>
    <t>AE 02</t>
  </si>
  <si>
    <t>Gestão de produtos químicos</t>
  </si>
  <si>
    <t>Logística reversa e embalagens</t>
  </si>
  <si>
    <t>AE 03</t>
  </si>
  <si>
    <t>Logística reversa industrial</t>
  </si>
  <si>
    <t>AE 04</t>
  </si>
  <si>
    <t>Impacto ambiental das embalagens</t>
  </si>
  <si>
    <t>AE 05</t>
  </si>
  <si>
    <t>Logística reversa de embalagens pós-consumo</t>
  </si>
  <si>
    <t>Rastreamento</t>
  </si>
  <si>
    <t>Rastreamento das matérias-primas</t>
  </si>
  <si>
    <t>Pegada de Carbono (Carbon Footprint)</t>
  </si>
  <si>
    <t>Processo produtivo</t>
  </si>
  <si>
    <t>Ecoeficiência do processo produtivo</t>
  </si>
  <si>
    <t>Ruído externo</t>
  </si>
  <si>
    <t>Tecnologia Social</t>
  </si>
  <si>
    <t>AS 01</t>
  </si>
  <si>
    <t>Projetos com comunidades</t>
  </si>
  <si>
    <t>Água e Efluentes</t>
  </si>
  <si>
    <t>BE 01</t>
  </si>
  <si>
    <t>Gestão hídrica na cadeia de abastecimento</t>
  </si>
  <si>
    <t>BE 02</t>
  </si>
  <si>
    <t>BE 03</t>
  </si>
  <si>
    <t>BE 04</t>
  </si>
  <si>
    <t>Marketing e rotulagem</t>
  </si>
  <si>
    <t>BS 01</t>
  </si>
  <si>
    <t>Rotulagem e publicidade</t>
  </si>
  <si>
    <t>BS 02</t>
  </si>
  <si>
    <t>Acurácia das informações</t>
  </si>
  <si>
    <t>Qualidade e segurança dos produtos</t>
  </si>
  <si>
    <t>BS 03</t>
  </si>
  <si>
    <t>Registros e selos</t>
  </si>
  <si>
    <t>BS 04</t>
  </si>
  <si>
    <t>Segurança alimentar (Food Security)</t>
  </si>
  <si>
    <t>Bem-estar do consumidor</t>
  </si>
  <si>
    <t>Uso racional de recursos</t>
  </si>
  <si>
    <t>CE 01</t>
  </si>
  <si>
    <t>Recursos naturais não renováveis</t>
  </si>
  <si>
    <t>CE 02</t>
  </si>
  <si>
    <t>Recursos naturais renováveis</t>
  </si>
  <si>
    <t>Biodiversidade</t>
  </si>
  <si>
    <t>CE 03</t>
  </si>
  <si>
    <t>Proteção da flora e da fauna</t>
  </si>
  <si>
    <t>Eficiência energética</t>
  </si>
  <si>
    <t>CE 04</t>
  </si>
  <si>
    <t>Ventilação e orientação solar</t>
  </si>
  <si>
    <t>Superfícies Sustentáveis</t>
  </si>
  <si>
    <t>CE 05</t>
  </si>
  <si>
    <t>Impactos à vizinhança</t>
  </si>
  <si>
    <t>CS 01</t>
  </si>
  <si>
    <t>Estudo de Impactos à Vizinhança (EIV)</t>
  </si>
  <si>
    <t>Patrimônio Histórico</t>
  </si>
  <si>
    <t>CS 02</t>
  </si>
  <si>
    <t>Salvaguarda do patrimônio histórico e cultural</t>
  </si>
  <si>
    <t>Segurança do Trabalho</t>
  </si>
  <si>
    <t>CS 03</t>
  </si>
  <si>
    <t>Equipamentos de Proteção Coletiva (EPC)</t>
  </si>
  <si>
    <t>Projeto</t>
  </si>
  <si>
    <t>CG 01</t>
  </si>
  <si>
    <t>Fases de pré-projeto e projeto colaborativas</t>
  </si>
  <si>
    <t>Selos e Certificações</t>
  </si>
  <si>
    <t>CG 02</t>
  </si>
  <si>
    <t>Certificações ambientais e/ou de sustentabilidade de 3ª parte</t>
  </si>
  <si>
    <t>Impactos do produto em fase de uso</t>
  </si>
  <si>
    <t>DE 01</t>
  </si>
  <si>
    <t>Eficiência energética do produto</t>
  </si>
  <si>
    <t>DE 02</t>
  </si>
  <si>
    <t>Emissões de Gases de Efeito Estufa (GEE) pelo produto</t>
  </si>
  <si>
    <t>Impactos do produto após o seu uso</t>
  </si>
  <si>
    <t>DE 03</t>
  </si>
  <si>
    <t>DE 04</t>
  </si>
  <si>
    <t>Logística reversa do produto pós-consumo</t>
  </si>
  <si>
    <t>DE 05</t>
  </si>
  <si>
    <t>Logística reversa da embalagem pós-consumo</t>
  </si>
  <si>
    <t>Matérias-primas e insumos</t>
  </si>
  <si>
    <t>DE 06</t>
  </si>
  <si>
    <t>DE 07</t>
  </si>
  <si>
    <t>Operações de transporte e manejo de recursos e produtos especialmente protegidos</t>
  </si>
  <si>
    <t>Segurança do consumidor</t>
  </si>
  <si>
    <t>DS 01</t>
  </si>
  <si>
    <t>Histórico e práticas relacionadas à segurança durante o uso</t>
  </si>
  <si>
    <t>DS 02</t>
  </si>
  <si>
    <t>Propriedade Intelectual</t>
  </si>
  <si>
    <t>DG 01</t>
  </si>
  <si>
    <t>Marcas e patentes</t>
  </si>
  <si>
    <t>Poluição</t>
  </si>
  <si>
    <t>EE 01</t>
  </si>
  <si>
    <t>Tratamento e Controle da poluição atmosférica</t>
  </si>
  <si>
    <t>EE 02</t>
  </si>
  <si>
    <t>Prevenção à contaminação de solos, águas superficiais e subterrâneas</t>
  </si>
  <si>
    <t>EE 03</t>
  </si>
  <si>
    <t>Proteção da biodiversidade – fase de implantação</t>
  </si>
  <si>
    <t>EE 04</t>
  </si>
  <si>
    <t>Proteção da biodiversidade – fase de operação</t>
  </si>
  <si>
    <t>Resíduos</t>
  </si>
  <si>
    <t>EE 05</t>
  </si>
  <si>
    <t>Destinação de materiais e equipamentos após o uso</t>
  </si>
  <si>
    <t>Gestão de impactos sociais</t>
  </si>
  <si>
    <t>ES 01</t>
  </si>
  <si>
    <t>Estudo e mitigação de impactos sociais</t>
  </si>
  <si>
    <t>Radiação e saúde humana</t>
  </si>
  <si>
    <t>ES 02</t>
  </si>
  <si>
    <t>Exposição à radiação</t>
  </si>
  <si>
    <t>ES 03</t>
  </si>
  <si>
    <t>Ruídos, vibrações, odores e impurezas</t>
  </si>
  <si>
    <t>Gestão de recursos</t>
  </si>
  <si>
    <t>EG 01</t>
  </si>
  <si>
    <t>Estímulo ao uso racional de recursos</t>
  </si>
  <si>
    <t>Gestão de fornecimento e serviços</t>
  </si>
  <si>
    <t>EG 02</t>
  </si>
  <si>
    <t>Segurança e eficiência das operações</t>
  </si>
  <si>
    <t>Produção Sustentável</t>
  </si>
  <si>
    <t>FE 01</t>
  </si>
  <si>
    <t>Ecoeficiência dos processos industriais</t>
  </si>
  <si>
    <t>FE 02</t>
  </si>
  <si>
    <t>Sistemas Orgânicos de Produção</t>
  </si>
  <si>
    <t>FE 03</t>
  </si>
  <si>
    <t>Proteção e Recuperação da Biodiversidade</t>
  </si>
  <si>
    <t>FE 04</t>
  </si>
  <si>
    <t>Prevenção à contaminação do ar, solos, águas superficiais e subterrâneas</t>
  </si>
  <si>
    <t>FE 05</t>
  </si>
  <si>
    <t>Gestão de operações de alto risco</t>
  </si>
  <si>
    <t>FS 01</t>
  </si>
  <si>
    <t>FS 02</t>
  </si>
  <si>
    <t>Áreas sensíveis ou conflituosas</t>
  </si>
  <si>
    <t>FS 03</t>
  </si>
  <si>
    <t>Saúde pública</t>
  </si>
  <si>
    <t>FS 04</t>
  </si>
  <si>
    <t>Segurança alimentar (food safety)</t>
  </si>
  <si>
    <t>Regularidade das operações</t>
  </si>
  <si>
    <t>FG 01</t>
  </si>
  <si>
    <t>Concessões, lavras, autorizações e outorgas</t>
  </si>
  <si>
    <t>N</t>
  </si>
  <si>
    <t>A indústria não possui evidências do atendimento aos requisitos estabelecidos pelos clientes, além de não possuir um programa próprio sobre substâncias restritas, para si e para sua cadeia de valor.</t>
  </si>
  <si>
    <t>A indústria assegura o atendimento aos requisitos estabelecidos pelos mercados e/ou clientes quanto à presença de substâncias restritas nos seus produtos.</t>
  </si>
  <si>
    <t>Além de atender ao nível anterior, a indústria possui programa próprio sobre substâncias restritas comunicada aos seus fornecedores, além de possuir mecanismos para controlar e monitorar o atendimento por parte deles.</t>
  </si>
  <si>
    <t>Além de atender ao nível anterior, a indústria estabelece metas de redução e/ou eliminação de substâncias restritas em seus produtos, e possui registros de ações realizadas e seus resultados.</t>
  </si>
  <si>
    <t>Além de atender ao nível anterior, a indústria participa de programas para controle de substâncias, tais como ZDHC e Afirm Group.</t>
  </si>
  <si>
    <t>ODS</t>
  </si>
  <si>
    <t>Observações</t>
  </si>
  <si>
    <t>G1E 01</t>
  </si>
  <si>
    <t>Aproveitamento energético</t>
  </si>
  <si>
    <t>G1E 02</t>
  </si>
  <si>
    <t>Manutenção das áreas de conservação</t>
  </si>
  <si>
    <t>G1E 03</t>
  </si>
  <si>
    <t>G1E 04</t>
  </si>
  <si>
    <t>G1E 05</t>
  </si>
  <si>
    <t>G1E 06</t>
  </si>
  <si>
    <t>Impacto ambiental</t>
  </si>
  <si>
    <t>G1S 01</t>
  </si>
  <si>
    <t>Segurança em ambiente crítico</t>
  </si>
  <si>
    <t>G1S 02</t>
  </si>
  <si>
    <t>G1S 03</t>
  </si>
  <si>
    <t>G1G01</t>
  </si>
  <si>
    <t>A indústria não armazena e/ou acondiciona os produtos químicos adequadamente, e/ou não disponibiliza as FISPQs e/ou não treina os colaboradores   envolvidos nestas atividades.</t>
  </si>
  <si>
    <t>A indústria armazena e acondiciona os produtos químicos adequadamente, disponibiliza as FISPQs e treina os colaboradores   envolvidos nestas operações.</t>
  </si>
  <si>
    <t xml:space="preserve">Além de atender ao nível anterior, a indústria possui programa para assegurar uma correta gestão de produtos químicos dirigida aos seus terceirizados e/ou fornecedores regulares e críticos. </t>
  </si>
  <si>
    <t>Além de atender ao nível anterior, a indústria possui um plano para atendimento a emergências com produtos químicos, além de equipe treinada para tomar as medidas previstas em caso de vazamento e/ou acidentes.</t>
  </si>
  <si>
    <t>Além de atender ao nível anterior, a indústria dispõe de kits de contenção/emergência, lavador de olhos e/ou chuveiros em áreas nas quais os produtos químicos são manuseados.</t>
  </si>
  <si>
    <t>Obrigatório</t>
  </si>
  <si>
    <t>A indústria não possui iniciativas em execução relacionadas à logística reversa de matérias-primas, insumos e suas embalagens, direcionadas aos fornecedores.</t>
  </si>
  <si>
    <t>A indústria possui ao menos duas ou mais iniciativas em execução, relacionadas à logística reversa de matérias-primas, insumos e suas embalagens, voltadas aos fornecedores</t>
  </si>
  <si>
    <t>A indústria possui ao menos uma iniciativa em execução relacionada à logística reversa de matérias-primas, insumos e suas embalagens, em parceria com seus fornecedores.</t>
  </si>
  <si>
    <t>A indústria não utiliza embalagens certificadas (FSC, CERFLOR, EuCertPlast ou similar), ou embalagens fabricadas a partir de materiais ambientalmente responsáveis.</t>
  </si>
  <si>
    <t>A indústria possui parte de suas embalagens certificadas (FSC, CERFLOR, EuCertPlast ou similar), ou embalagens fabricadas a partir de materiais ambientalmente responsáveis. Em ambos os casos, as embalagens devem ser recicláveis.</t>
  </si>
  <si>
    <t>A organização utiliza 100% das embalagens certificadas (FSC, CERFLOR, EuCertPlast ou semelhante), ou embalagens fabricadas a partir de materiais ambientalmente responsáveis. Em ambos os casos, as embalagens devem ser recicláveis.</t>
  </si>
  <si>
    <t>A indústria não cumpre as obrigações legais de logística reserva de embalagens em geral, ainda que parcialmente.</t>
  </si>
  <si>
    <t>A indústria cumpre parcialmente as obrigações legais de logística reversa de embalagens em geral, em 01 (um) ou mais Estados.</t>
  </si>
  <si>
    <t>A indústria cumpre integralmente as obrigações legais de logística reversa de embalagens em geral, nos limites territoriais e termos do Acordo Setorial ou outro compromisso de âmbito nacional que o substitua.</t>
  </si>
  <si>
    <t>A indústria cumpre integralmente as obrigações legais de logística reversa de embalagens em geral – em todos os Estados da Federação.</t>
  </si>
  <si>
    <t>Além de atender ao nível anterior, a indústria realiza ações e campanhas de educação ambiental dirigidas aos seus consumidores, visando ao descarte adequado das embalagens.</t>
  </si>
  <si>
    <t>HE 01</t>
  </si>
  <si>
    <t>Abate humanitário</t>
  </si>
  <si>
    <t>HE 02</t>
  </si>
  <si>
    <t>HE 03</t>
  </si>
  <si>
    <t>HE 04</t>
  </si>
  <si>
    <t>HS 01</t>
  </si>
  <si>
    <t>Risco ergonômico</t>
  </si>
  <si>
    <t>Atividades em câmara fria</t>
  </si>
  <si>
    <t>Segurança em ambientes climatizados</t>
  </si>
  <si>
    <t>Segurança em risco biológico</t>
  </si>
  <si>
    <t>Transporte humanitário</t>
  </si>
  <si>
    <t>Condenações</t>
  </si>
  <si>
    <t>sim</t>
  </si>
  <si>
    <t>Investimento Social Privado</t>
  </si>
  <si>
    <t>GS 25</t>
  </si>
  <si>
    <t>ALIMENTOS E BEBIDAS</t>
  </si>
  <si>
    <t xml:space="preserve">Obrigatorio </t>
  </si>
  <si>
    <t xml:space="preserve">Rastreabilidade </t>
  </si>
  <si>
    <t>Gestão</t>
  </si>
  <si>
    <t>Logistica Reversa e Embalagem</t>
  </si>
  <si>
    <t>Logistica Reversa de Embalagem pós consumo</t>
  </si>
  <si>
    <t>Coluna1</t>
  </si>
  <si>
    <t xml:space="preserve">obrigatorio </t>
  </si>
  <si>
    <t>Uso de Materiais Ecológicos</t>
  </si>
  <si>
    <t xml:space="preserve">Atendimento ao Cliente </t>
  </si>
  <si>
    <t>Atendimento e Satisfação do Consumidor</t>
  </si>
  <si>
    <t>obrigatorio</t>
  </si>
  <si>
    <t>Recursos Naturais</t>
  </si>
  <si>
    <t>Manutenção de áreas de conservação</t>
  </si>
  <si>
    <t xml:space="preserve">Saúde e Segurança </t>
  </si>
  <si>
    <t>GERAL</t>
  </si>
  <si>
    <t>A</t>
  </si>
  <si>
    <t>B</t>
  </si>
  <si>
    <t>C</t>
  </si>
  <si>
    <t>D</t>
  </si>
  <si>
    <t>E</t>
  </si>
  <si>
    <t>F</t>
  </si>
  <si>
    <t>G</t>
  </si>
  <si>
    <t>H</t>
  </si>
  <si>
    <t xml:space="preserve">Obrigatório </t>
  </si>
  <si>
    <t>Não obrigatório</t>
  </si>
  <si>
    <t>Máximo</t>
  </si>
  <si>
    <t>Certificado de Conformidade – Corpo de Bombeiros</t>
  </si>
  <si>
    <t>Coluna2</t>
  </si>
  <si>
    <t>maximo</t>
  </si>
  <si>
    <t>Ambiental</t>
  </si>
  <si>
    <t>Governança</t>
  </si>
  <si>
    <t>Pontuação máxima cada dimensão</t>
  </si>
  <si>
    <t>TOTAL</t>
  </si>
  <si>
    <t>AMBIENTAL</t>
  </si>
  <si>
    <t>Número de Indicadores por Caderno Setorial - Obrigatório / não obrigatório</t>
  </si>
  <si>
    <t>SOCIAL</t>
  </si>
  <si>
    <t>MICRO E PEQUENA EMPRESA - pontuação mínima para cada rating - por segmento</t>
  </si>
  <si>
    <t xml:space="preserve">GOVERNANÇA </t>
  </si>
  <si>
    <t>Médias e Grandes - pontuação mínima para cada rating - por segmento</t>
  </si>
  <si>
    <t>Aproveitamento por rating</t>
  </si>
  <si>
    <t>3, 8</t>
  </si>
  <si>
    <t xml:space="preserve">5, 10 </t>
  </si>
  <si>
    <t>8, 10</t>
  </si>
  <si>
    <t>16, 17</t>
  </si>
  <si>
    <t>9, 12, 16</t>
  </si>
  <si>
    <t>12, 16</t>
  </si>
  <si>
    <t>12, 16, 17</t>
  </si>
  <si>
    <t>9, 12</t>
  </si>
  <si>
    <t>A indústria não tem práticas definidas apoio à causas sociais</t>
  </si>
  <si>
    <t>A indústria anualmente realiza doações de produtos e/ou serviços para causas sociais</t>
  </si>
  <si>
    <t>A indústria tem orçamento anual definido para apoio financeiro a causas sociais e Organizações da Sociedade Civil</t>
  </si>
  <si>
    <t xml:space="preserve">A indústria possui metas, indicadores e orçamento para gerir apoio a causas sociais e Organizações da Sociedade Civil </t>
  </si>
  <si>
    <t>A indústria possui certificação com metas, indicadores, orçamento e equipe ou instituto próprios para acompanhar seus planos de investimento social privado</t>
  </si>
  <si>
    <t>HE 06</t>
  </si>
  <si>
    <t>HE 07</t>
  </si>
  <si>
    <t>HE 08</t>
  </si>
  <si>
    <t>HE 09</t>
  </si>
  <si>
    <t>HE 05</t>
  </si>
  <si>
    <t>AS 02</t>
  </si>
  <si>
    <t>AS 03</t>
  </si>
  <si>
    <t>AS 04</t>
  </si>
  <si>
    <t>AS 05</t>
  </si>
  <si>
    <t>A indústria não realiza nenhum tipo de rastreamento da origem dos recursos naturais que são base para a fabricação de suas matérias primas e insumos, desconhecendo a regularidade dos processos de extração, cultivo e/ou manejo.</t>
  </si>
  <si>
    <t>A indústria adota práticas mínimas de rastreio, com foco na legalidade da origem. São utilizadas ferramentas como aplicação de questionários autodeclaratórios aos fornecedores e busca (pesquisa) de evidências de conformidade.</t>
  </si>
  <si>
    <t>A indústria vai além da legalidade e estimula e/ou dá preferência publicamente para fornecedores com ao menos 01 das seguintes boas práticas: produção orgânica, não resultante da ocupação de áreas de desmatamento ilegal, produtos livres de metais pesados e/ou manejo humanizado.</t>
  </si>
  <si>
    <t>A indústria não só estimula e/ou dá preferência para as boas práticas descritas no nível “sensibilizada”, como também define ao menos 01 delas como critérios de seleção de fornecedores inegociável.</t>
  </si>
  <si>
    <t>Além da conformidade com o nível anterior, a indústria dispõe de tecnologia digital de rastreio que permite ao cliente (B2B ou B2C) visualizar dados básicos acerca da procedência e da origem da matéria-prima e/ou insumo.</t>
  </si>
  <si>
    <t>A indústria não realiza a avaliação da pegada de carbono nenhum dos produtos de seu portfólio.</t>
  </si>
  <si>
    <t>A indústria realizou a pegada de carbono de ao menos 01 dos produtos de seu portfólio nos últimos 02 anos, porém, não divulgou externamente a iniciativa, utilizando o dado apenas para fins de gestão interna.</t>
  </si>
  <si>
    <t>Além de atender ao nível anterior, a indústria aplica ao produto rotulagem ambiental contendo, no mínimo, informação sobre a pegada de carbono do(s) produto(s).</t>
  </si>
  <si>
    <t>Além de atender ao nível anterior, a indústria neutraliza a pegada de carbono, por meio de iniciativas como a aquisição de créditos de carbono no mercado voluntário ou sequestro de carbono pelo plantio de árvores. Esta ação é comunicada na rotulagem.</t>
  </si>
  <si>
    <t>Além de atender ao nível anterior, os cálculos tanto da pegada de carbono, quanto da neutralização, são auditados por terceira parte, garantindo a acurácia dos valores constantes na rotulagem ambiental.</t>
  </si>
  <si>
    <t>A indústria não realiza nenhuma prática destinada a eliminar e/ou reduzir desperdícios de recursos, tanto em nível das áreas produtivas, quanto de desenvolvimento e compras.</t>
  </si>
  <si>
    <t>A indústria realiza ao menos 01 prática destinada a eliminar e/ou reduzir desperdício de recursos, no mínimo em relação à área produtiva. Exemplos de práticas são o treinamento dos colaboradores com foco em ecoeficiência e o monitoramento de indicadores sobre o tema.</t>
  </si>
  <si>
    <t>Além de atender ao nível anterior, a(s) prática(s) de ecoeficiência alcançam não só os colaboradores da área produtiva, mas também de desenvolvimento e compras, para que – na concepção do produto e aquisição das matérias-primas e insumos – seja aplicada inteligência com foco em redução de desperdícios.</t>
  </si>
  <si>
    <t>Além de atender ao nível anterior, a indústria dispõe de relatórios ou outras evidências quantificando a eliminação e/ou redução de desperdícios, a partir de ações ou projetos de ecoeficiência nas áreas produtivas, de desenvolvimento e/ou compras.</t>
  </si>
  <si>
    <t>Além de atender ao nível anterior, a indústria vai além de suas operações próprias na busca por eficiência, realizando ações e projetos junto a sua cadeia de valor, ainda que parcialmente e mesmo que limitado à conscientização e/ou capacitação técnica.</t>
  </si>
  <si>
    <t>A indústria possui máquinas e equipamentos que emitem ruídos, mas não realiza nenhum tipo de verificação periódica para garantir o respeito aos limites de pressão sonora.</t>
  </si>
  <si>
    <t>A indústria possui máquinas e equipamentos que emitem ruídos, e realiza verificações (medições) com periodicidade, no mínimo, bianual, para garantir o respeito aos limites de pressão sonora previstos nas normas que regulamentam o tema.</t>
  </si>
  <si>
    <t>A indústria não realiza nenhuma prática e/ou projeto com Comunidades, que compreenda fornecimento de matérias-primas ou insumos, e/ou prestação de serviços, com geração de renda e outros benefícios.</t>
  </si>
  <si>
    <t>A indústria realiza ao menos 01 projeto com Comunidades, que compreenda fornecimento de matérias-primas ou insumos, e/ou prestação de serviços, com geração de renda e outros benefícios.</t>
  </si>
  <si>
    <t>A indústria não possui mecanismos para avaliar a conformidade legal da captação de água e do lançamento de efluentes realizada por seus fornecedores regulares críticos.</t>
  </si>
  <si>
    <t>A indústria possui mecanismos para avaliar a conformidade legal da captação de água e do lançamento de efluentes realizada por seus fornecedores regulares críticos.</t>
  </si>
  <si>
    <t>Além de atender ao nível anterior, a indústria possui ações que visam incentivar a eficiência hídrica por parte de seus fornecedores, como, programas de conscientização, suporte técnico e/ou premiações/reconhecimento das melhores práticas.</t>
  </si>
  <si>
    <t xml:space="preserve">Além de atender ao nível anterior, a indústria realiza o cálculo de pegada hídrica de um ou mais produtos, identificando o consumo direto e indireto de água necessário para a produção e realizando o monitoramento contínuo destes indicadores. </t>
  </si>
  <si>
    <t xml:space="preserve">Além de atender ao nível anterior, a indústria possui ações implementadas que resultaram na redução dos indicadores monitorados conforme o nível anterior. </t>
  </si>
  <si>
    <t xml:space="preserve">Além do atendimento ao nível anterior, a indústria possui área dedicada ao desenvolvimento de novas embalagens com menor impacto ambiental, ou apresenta registros de investimentos em iniciativas realizadas com este objetivo. </t>
  </si>
  <si>
    <t>A indústria não realiza nenhum tipo de rastreamento da origem dos recursos naturais que são base para a fabricação de suas matérias-primas e insumos, desconhecendo a regularidade dos processos de extração, cultivo e/ou manejo.</t>
  </si>
  <si>
    <t>A indústria adota práticas mínimas de rastreio, com foco na legalidade da origem. São utilizadas ferramentas como aplicação de questionários autodeclaratório junto aos fornecedores e busca (pesquisa) de evidências de conformidade.</t>
  </si>
  <si>
    <t>A indústria vai além da legalidade e estimula e/ou dá preferência publicamente para fornecedores com ao menos 01 das seguintes boas práticas: produção orgânica, não resultante da ocupação de áreas de desmatamento, produtos livres de metais pesados e/ou manejo humanizado.</t>
  </si>
  <si>
    <t>A indústria não só estimula e/ou dá preferência para as boas práticas descritas no nível “sensibilizada”, mas define ao menos 01 delas como critérios de seleção de fornecedores inegociável.</t>
  </si>
  <si>
    <t>Além da conformidade com o nível anterior, a indústria dispõe de tecnologia digital de rastreio que permita ao cliente (B2B ou B2C) visualizar dados básicos acerca da procedência e da origem da matéria-prima e/ou insumo.</t>
  </si>
  <si>
    <t>Além de atender ao nível anterior, a(s) prática(s) de ecoeficiência alcança(m) não só os colaboradores da área produtiva, mas também de desenvolvimento e compras, para que – na concepção do produto e aquisição das matérias-primas e insumos – seja aplicada inteligência com foco em redução de desperdícios.</t>
  </si>
  <si>
    <t>Além de atender ao nível anterior, a indústria vai além de suas operações próprias na busca por eficiência, realizando ações e projetos voltados a sua cadeia de valor, ainda que parcialmente e mesmo que limitado à conscientização e/ou capacitação técnica.</t>
  </si>
  <si>
    <t>A indústria não divulga suas marcas e produtos de acordo com a legislação vigente, tendo sido penalizada, nos últimos 2 anos a contar da data de auditoria, em decorrência de não conformidades com práticas de marketing e/ou rotulagem.</t>
  </si>
  <si>
    <t>A indústria divulga suas marcas e produtos de acordo com a legislação vigente, além de não ter sido penalizada, nos últimos 2 anos a contar da data de auditoria, em decorrência de não conformidades com práticas de marketing e/ou rotulagem.</t>
  </si>
  <si>
    <t xml:space="preserve">Além de atender ao nível anterior, a indústria possui políticas de marketing e/ou outros procedimentos que definem as diretrizes para a correta divulgação da marca, além de capacitar os colaboradores envolvidos para com o tema.   </t>
  </si>
  <si>
    <t xml:space="preserve">Além de atender ao nível anterior, a indústria possui campanhas específicas incentivando o consumo consciente de seus consumidores.    </t>
  </si>
  <si>
    <t>A indústria não divulga e/ou divulga de forma inadequada as informações nutricionais, quantidade total, validade e/ou instruções de conservação de seus produtos, de acordo com a regulamentação vigente. Além disso, há histórico, nos últimos 2 anos, de condenações administrativas e/ou judiciais transitadas em julgado, por violação de normas relacionadas ao tema.</t>
  </si>
  <si>
    <t>A indústria divulga adequadamente as informações nutricionais, quantidade total, validade e instruções de conservação de seus produtos. Além disso, não há histórico, nos últimos 2 anos, de condenações administrativas e/ou judiciais transitadas em julgado, por violação de normas relacionadas ao tema.</t>
  </si>
  <si>
    <t xml:space="preserve">Um ou mais produtos comercializados pela indústria não possuem registros e selos, agrícolas e/ou pecuárias, expedidos pelos órgãos competentes, conforme o caso. </t>
  </si>
  <si>
    <t xml:space="preserve">Os produtos comercializados pela indústria não possuem registros e selos, agrícolas e/ou pecuárias, expedidos pelos órgãos competentes, conforme o caso. </t>
  </si>
  <si>
    <t>A indústria não é certificada em uma ou mais normas de segurança alimentar reconhecidas pela Global Food Safety Initiative – GFSI, tal como FSSC 22000. Além disso, há histórico, nos últimos 2 anos, de condenações administrativas e/ou judiciais transitadas em julgado, por violação de normas relacionadas ao tema.</t>
  </si>
  <si>
    <t>A indústria não é certificada em norma de segurança alimentar reconhecida GFSI. Além disso, há histórico, nos últimos 2 anos, de condenações administrativas e/ou judiciais transitadas em julgado, por violação de normas relacionadas ao tema, mas já houve a regularização ou está em execução.</t>
  </si>
  <si>
    <t>A indústria não é certificada em norma de segurança alimentar reconhecida GFSI. Porém, não há histórico, nos últimos 2 anos, de condenações administrativas e/ou judiciais transitadas em julgado, por violação de normas relacionadas ao tema.</t>
  </si>
  <si>
    <t>A indústria é certificada em norma de segurança alimentar reconhecida GFSI. Além disso, não há histórico, nos últimos 2 anos, de condenações administrativas e/ou judiciais transitadas em julgado, por violação de normas relacionadas ao tema.</t>
  </si>
  <si>
    <t xml:space="preserve">A indústria não investe em iniciativas para o desenvolvimento de produtos que promovam alimentos mais saudáveis. </t>
  </si>
  <si>
    <t xml:space="preserve">A indústria investe em iniciativas para o desenvolvimento de produtos que promovam alimentos mais saudáveis, além de possuir uma ou mais linhas de produtos nutricionalmente superiores a outros produtos da mesma categoria. </t>
  </si>
  <si>
    <t xml:space="preserve">Além de atender ao nível anterior, a indústria possui uma ou mais linhas de produtos certificados em padrões que garantem benefícios ambientais e/ou sociais gerados, como por exemplo:  SVB Vegano, Gluten-Free e Certified Humane. </t>
  </si>
  <si>
    <t>Rastreabilidade</t>
  </si>
  <si>
    <t>Logística reversa de embalagens pós consumo</t>
  </si>
  <si>
    <t>BG 01</t>
  </si>
  <si>
    <t>BG 02</t>
  </si>
  <si>
    <t>A indústria não cumpre com as práticas de abate humanitário estabelecidas na resolução 365 da SDA.</t>
  </si>
  <si>
    <t>A indústria cumpre com as práticas mínimas de abate humanitário, porém não tem procedimentos de tal processo.</t>
  </si>
  <si>
    <t>A indústria conta com registros de treinamentos aos colaboradores quanto às práticas de abate humanitário.</t>
  </si>
  <si>
    <t>Além de atender ao nível anterior, a indústria conta com metodologia de gestão interna para auditar e monitorar os métodos de abate realizado, visando aprimorar as práticas de abate humanizado.</t>
  </si>
  <si>
    <t>Além de atender ao nível anterior, a indústria possui certificação relacionada ao bem-estar animal.</t>
  </si>
  <si>
    <t xml:space="preserve">A indústria não realiza nenhum processo de monitoramento e rastreabilidade dos animais recebidos para processamento. </t>
  </si>
  <si>
    <t xml:space="preserve">A indústria realiza um processo de monitoramento e rastreabilidade dos animais recebidos para processamento mantendo registros e controles relacionados a desmatamento ilegal e saúde sanitária apenas do fornecedor direto. </t>
  </si>
  <si>
    <t>Além do nível anterior a indústria realiza o monitoramento e controle da rastreabilidade dos animais recebidos com extensão nos demais elos da sua cadeia de valor.</t>
  </si>
  <si>
    <t>Além do nível anterior, a indústria define formalmente em seus procedimentos a compra de animais rastreados através de certificações nacionais / internacionais, com registro de identificação individual e monitora para que estes não sejam advindos de áreas desmatadas mesmo que legalmente após 2021.</t>
  </si>
  <si>
    <t>A indústria não possui, no seu SGA, as seguintes medidas preventivas à contaminação ambiental: mapeamento de riscos; procedimentos e rotinas de inspeção e manutenção; auditorias internas; plano de emergência; e treinamentos. Ou, mesmo que possua, há evento de contaminação ou suspeita não investigado e/ou remediado, nos últimos 2 anos.</t>
  </si>
  <si>
    <t>A indústria possui, no seu SGA, as medidas preventivas descritas no nível anterior. Porém, há histórico, nos últimos 2 anos, de eventos de contaminação ou suspeita, decorrentes das atividades da indústria, mas que estão sendo investigados e/ou remediados.</t>
  </si>
  <si>
    <t>A indústria possui, no seu SGA, as medidas preventivas descritas nos níveis anteriores. Não há histórico, nos últimos 2 anos, de eventos de contaminação ou suspeita, decorrentes das atividades da indústria.</t>
  </si>
  <si>
    <t>Além de atender ao nível anterior, o plano de emergência e/ou a documentação correlacionada prevê, expressamente, as medidas a serem adotadas para preservação da saúde da população da vizinhança e das comunidades afetadas.</t>
  </si>
  <si>
    <t>Além de atender ao nível anterior, o plano de emergência e/ou a documentação correlacionada prevê, expressamente, as medidas a serem adotadas para preservação da fauna e compensação da flora potencialmente afetadas.</t>
  </si>
  <si>
    <t xml:space="preserve">A indústria não cumpriu com os requisitos estabelecidos na NR 36 relacionados a ergonomia, bem como não tem planos, projetos e cronogramas para o seu atendimento. </t>
  </si>
  <si>
    <t>A indústria não cumpriu integralmente os requisitos relacionados à ergonomia citados pela NR36 porém, tem projetos, planos e cronogramas para tal atendimento, bem como implementou atividades para minimizar os impactos dos esforços repetitivos aos colaboradores.</t>
  </si>
  <si>
    <t xml:space="preserve">A indústria cumpriu integralmente os requisitos relacionados à ergonomia conforme citados na NR 36. </t>
  </si>
  <si>
    <t xml:space="preserve">Além de atender ao nível anterior, a indústria conta com um plano de gestão ergonômica com análises de operações e atividades, riscos envolvidos e ações de mitigação. </t>
  </si>
  <si>
    <t>A indústria não atende aos requisitos estabelecidos na NR 36 quanto a saúde e segurança em trabalho em câmaras frias</t>
  </si>
  <si>
    <t>A indústria não atende completamente os requisitos relacionados ao trabalho em câmara fria estabelecidos pela NR 36, porém apresentou cronogramas e ações em andamento para o seu atendimento.</t>
  </si>
  <si>
    <t>A indústria atendeu aos requisitos relacionados ao trabalho em câmara fria definidos pela NR 36 e apresentou evidências do seu atendimento.</t>
  </si>
  <si>
    <t>Além de atender o nível anterior, a indústria possui processos para redução do tempo de exposição de colaboradores à câmara fria.</t>
  </si>
  <si>
    <t>A indústria não cumpre os requisitos estabelecidos quanto a saúde e segurança em áreas climatizadas, criando riscos ao ambiente de trabalho.</t>
  </si>
  <si>
    <t>A indústria cumpre os requisitos quanto a saúde e segurança em áreas climatizadas, mitigando os riscos do ambiente de trabalho.</t>
  </si>
  <si>
    <t>A indústria além de atender ao nível anterior, apresentou planos de gestão para manutenção de equipamentos, monitoramento de concentrações de CO2 no ar e também desenvolveu mecanismos de renovação frequente do ar.</t>
  </si>
  <si>
    <t xml:space="preserve">A indústria não realiza rotinas preventivas visando evitar a contaminação cruzada em suas operações tornando o ambiente suscetível à proliferação de doenças. </t>
  </si>
  <si>
    <t>A indústria realiza rotinas preventivas básicas visando evitar a contaminação cruzada em suas operações tornando o ambiente menos suscetível à proliferação de doenças.</t>
  </si>
  <si>
    <t xml:space="preserve">Além de atender ao nível anterior, a indústria conta com um plano de boas práticas de manejo que envolve no mínimo gestão, treinamento e auditoria das operações visando evitar qualquer risco de proliferação de bactérias e/ou patógenos. </t>
  </si>
  <si>
    <t>A indústria não atende aos requisitos mínimos de transporte e acomodação das mais variadas espécies com qual atua, gerando possibilidades de sofrimento e dor desnecessária aos animais.</t>
  </si>
  <si>
    <t>A indústria atende aos requisitos mínimos de transporte e acomodação das mais variadas espécies com qual atua evitando o risco de dor e sofrimentos desnecessários aos animais.</t>
  </si>
  <si>
    <t>Além de atender ao nível anterior, a indústria possui práticas adicionais à legislação relacionado a bem estar animal como criação não confinada e transporte especial para conforto animal.</t>
  </si>
  <si>
    <t>A indústria foi condenada nos dois últimos anos quanto a práticas de manejo e condições de saúde e segurança relacionado a trabalho em frigoríficos e não apresentou ações para solução</t>
  </si>
  <si>
    <t>A indústria foi condenada nos dois últimos anos quanto a práticas de manejo e condições de saúde e segurança relacionado a trabalho em frigoríficos e apresentou ações e cronogramas de solução</t>
  </si>
  <si>
    <t>A indústria não foi condenada nos últimos dois anos quanto a práticas de manejo e condições de saúde e segurança relacionado a trabalho em frigoríficos e executa todas as boas práticas necessárias para manutenção de sua reputação.</t>
  </si>
  <si>
    <t>A indústria não é capaz de comprovar a regularidade da procedência dos recursos naturais não renováveis utilizados nas obras (materiais minerais em geral, como solo, areia, britas e rochas), e/ou do manejo e da destinação de eventuais materiais minerais removidos da área de intervenção e destinados para fora dela. Há riscos de a atividade extrativa destes materiais ser ilegal e ter causado ou estar causando danos à saúde humana e/ou ao meio ambiente.</t>
  </si>
  <si>
    <t>A indústria é capaz de comprovar a regularidade e a procedência tanto dos recursos naturais não renováveis utilizados nas obras (materiais minerais em geral, como solo, areia, britas e rochas), quanto do manejo e da destinação de eventuais materiais minerais removidos da área de intervenção e destinados para fora dela, caso aplicável.</t>
  </si>
  <si>
    <t>Além de atender ao nível anterior, a indústria adota boas práticas relacionadas ao uso racional de recursos naturais renováveis não renováveis, como, por exemplo: a substituição, no todo ou em parte, de materiais virgens e oriundos de  extração mineral por recursos reutilizados ou reciclados; o reaproveitamento, na própria área de intervenção, da totalidade ou parte dos recursos minerais manejados.</t>
  </si>
  <si>
    <t>Além de atender ao nível anterior, a indústria prioriza a compra de materiais de construção ecoeficientes, como cimento, tintas, plásticos e outros. Há evidências de que o planejamento e o projeto da obra buscaram a compra de materiais ecoeficientes para os itens de maior volume consumido na obra e, caso não tenham contratado, apresentaram justificativa técnica plausível, e não de viés econômico.</t>
  </si>
  <si>
    <t>A indústria não é capaz de comprovar a regularidade da procedência dos recursos naturais renováveis utilizados nas obras (madeira e água), e/ou do manejo e da destinação para fora da área destes recursos, quando aplicável, incluindo águas contaminadas e efluentes. Há riscos de a atividade extrativa destes materiais ser ilegal, bem como sua destinação indevida pode causar danos à saúde humana e/ou ao meio ambiente.</t>
  </si>
  <si>
    <t>A indústria é capaz de comprovar a regularidade e a procedência tanto dos recursos naturais renováveis utilizados nas obras (madeira e água), quanto do manejo e da destinação para fora da área destes recursos. Isso inclui a utilização do sistema DOF e a comprovação de que são adotadas medidas para o adequado lançamento de efluentes gerados na obra, quando aplicáveis.</t>
  </si>
  <si>
    <t>Além de atender ao nível anterior, a indústria adota ao menos 1 (uma) das seguintes boas práticas relacionadas ao uso racional de recursos naturais renováveis: (a) aquisição apenas de madeiras certificadas FSC ou CERFLOR, ou extraídas licitamente no próprio terreno, para uso na obra; ou (b) utilização de cisternas para captação de água da chuva para uso na obra.</t>
  </si>
  <si>
    <t>A indústria adota as 2 (duas) práticas descritas no nível anterior.</t>
  </si>
  <si>
    <t>A indústria não realiza previamente estudos ambientais da flora e da fauna presentes na área de intervenção da obra. Caso realize os estudos, as medidas mitigatórias apontadas não são adotadas pela indústria.</t>
  </si>
  <si>
    <t>A indústria realiza previamente estudos ambientais da flora e da fauna presentes na área de intervenção da obra, independentemente de isto ser ou não uma obrigação legal para a indústria. Caso os estudos apontem medidas mitigatórias, elas são adotadas pela indústria.</t>
  </si>
  <si>
    <t>Além de atender ao nível anterior, a indústria evidencia que as medidas mitigatórias adotadas para o empreendimento vão além daquelas apontadas por estudos compulsórios exigidos para as licenças e autorizações ambientais. Medidas voluntárias são implementadas, gerando valor ambiental à biodiversidade.</t>
  </si>
  <si>
    <t>Além de atender ao nível anterior, a indústria evidencia que – ao selecionar os terrenos nos quais vai implantar seus empreendimentos – coloca os aspectos ambientais em pé de igualdade com os econômicos, buscando alternativas locacionais, caso aplicável.</t>
  </si>
  <si>
    <t>A indústria não possui evidências de que realiza estudos prévios e planeja tanto a orientação solar de seus empreendimentos, quanto a aplicação de técnicas para melhor ventilação natural.</t>
  </si>
  <si>
    <t>A indústria possui evidências de que realiza estudos prévias e planeja tanto a orientação solar de seus empreendimentos, quanto a aplicação de técnicas para melhor ventilação natural.</t>
  </si>
  <si>
    <t>Além de atender ao nível anterior, a indústria aplica a estratégia bioclimática na escolha dos componentes construtivos utilizados na obra, como paredes, pisos, coberturas e vidros.</t>
  </si>
  <si>
    <t xml:space="preserve">A indústria não possui ao menos 1 (um) dos seguintes elementos em suas obras: (a) piso permeável; (b) telhado ecológico ou com alto SRI; (c) captação de água da chuva para reuso; ou (d) Tijolos ecológicos e (e) demais elementos “Eco-friendly” </t>
  </si>
  <si>
    <t>Uso de materiais ecológicos</t>
  </si>
  <si>
    <t xml:space="preserve">A indústria possui ao menos 1 (um) dos seguintes elementos em suas obras: (a) piso permeável; (b) telhado ecológico ou com alto SRI; (c) captação de água da chuva para reuso; ou (d) Tijolos ecológicos e (e) demais elementos “Eco-friendly” </t>
  </si>
  <si>
    <t xml:space="preserve">A indústria possui ao menos 2 (um) dos seguintes elementos em suas obras: (a) piso permeável; (b) telhado ecológico ou com alto SRI; (c) captação de água da chuva para reuso; ou (d) Tijolos ecológicos e (e) demais elementos “Eco-friendly” </t>
  </si>
  <si>
    <t xml:space="preserve">A indústria possui ao menos 3 (um) dos seguintes elementos em suas obras: (a) piso permeável; (b) telhado ecológico ou com alto SRI; (c) captação de água da chuva para reuso; ou (d) Tijolos ecológicos e (e) demais elementos “Eco-friendly” </t>
  </si>
  <si>
    <t>A indústria não realiza Estudos de Impacto á Vizinhança (EIV), independentemente de este ser ou não uma obrigação legal para a empresa. Caso realize o estudo, as medidas mitigatórias apontadas não são adotadas pela indústria.</t>
  </si>
  <si>
    <t>A indústria realiza Estudos de Impacto á Vizinhança (EIV), independentemente de este ser ou não uma obrigação legal para a empresa. Caso os estudos apontem medidas mitigatórias, elas são adotadas pela indústria.</t>
  </si>
  <si>
    <t>Além de atender ao nível anterior, a indústria evidencia que as medidas mitigatórias adotadas para o empreendimento vão além daquelas apontadas por estudos compulsórios exigidos para as autorizações urbanísticas. Medidas voluntárias são implementadas, gerando valor urbanístico à comunidade.</t>
  </si>
  <si>
    <t>A indústria foi condenada, com trânsito em julgado, em processo administrativo ou judicial, por não salvaguardar patrimônio histórico e cultural sob sua responsabilidade. São exemplos de ações ou omissões que podem resultar em condenações a demolição ou a má-conservação de edificações com valor histórico e cultual.</t>
  </si>
  <si>
    <t>A indústria não foi condenada, com trânsito em julgado, em processo administrativo ou judicial, por não salvaguardar patrimônio histórico e cultural sob sua responsabilidade.</t>
  </si>
  <si>
    <t>Além de atender ao nível anterior, a indústria realiza voluntariamente investimentos para salvaguardar patrimônio histórico e cultural, esteja o bem protegido em imóvel de sua propriedade, em área pública ou de terceiros. A revitalização de uma praça pública, de um museu ou mesmo de um monumento são exemplos de ações voluntárias</t>
  </si>
  <si>
    <t xml:space="preserve">Além de atender ao nível anterior, a indústria possui mecanismos para a tratativa de eventuais reclamações da vizinhança.  </t>
  </si>
  <si>
    <t>A indústria não disponibiliza os EPC necessários à atividade.</t>
  </si>
  <si>
    <t>A indústria disponibiliza os EPC necessários à atividade.</t>
  </si>
  <si>
    <t>Além de atender ao nível anterior, a indústria registra e treina os colaboradores sobre a importância e o uso adequado dos EPC.</t>
  </si>
  <si>
    <t>A indústria não elabora, nem implementa um procedimento que garanta que as fases de pré-projeto e projeto sejam colaborativas, promovendo um processo integrativo.</t>
  </si>
  <si>
    <t>A indústria elabora e implementa um procedimento que garante que as fases de pré-projeto e projeto sejam colaborativas, promovendo um processo integrativo.</t>
  </si>
  <si>
    <t>Além de atender ao nível anterior, os processos integrativos englobam, em ao menos uma das reuniões, a presença de 1 (um) representante da comunidade na qual está inserida a obra e 1 (um) representante dos usuários da edificação.</t>
  </si>
  <si>
    <t>A indústria não possui um ou mais empreendimentos certificados com selos que atestam a sustentabilidade das construções, tais como LEED, AQUA e Procel Edificações.</t>
  </si>
  <si>
    <t>A indústria possui um ou mais empreendimentos certificados com selos que atestam a sustentabilidade das construções, tais como LEED, AQUA e Procel Edificações.</t>
  </si>
  <si>
    <t>A indústria possui a totalidade dos empreendimentos construídos certificados em selos que atestam a sustentabilidade das construções, tais como LEED, AQUA e Procel Edificações.</t>
  </si>
  <si>
    <t>A indústria não possui nenhuma prática de planejamento e execução, com foco na melhoria contínua da eficiência energética de seus produtos, durante o uso pelo consumidor.</t>
  </si>
  <si>
    <t>A indústria possui práticas de planejamento e execução, com foco na melhoria contínua da eficiência energética de ao menos um de seus produtos, durante o uso pelo consumidor.</t>
  </si>
  <si>
    <t>A indústria possui práticas de planejamento e execução, com foco na melhoria contínua da eficiência energética de mais de 50% de seu portfólio de produtos, durante o uso pelo consumidor. Além disso, inclui instruções de uso que contribuem para a redução do consumo.</t>
  </si>
  <si>
    <t>Além de atender ao nível anterior, ao menos 50% do portfólio de produtos da indústria está devidamente etiquetado e rotulado por Programas como PROCEL, CONPET, Energy Star e outros de renome nacional e/ou internacional, e alcançando, em média, os níveis A ou B de classificação geral.</t>
  </si>
  <si>
    <t>Além de atender ao nível anterior, a indústria possui metas claramente definidas e comunicadas ao mercado sobre a eficiência energética de seus produtos, durante o uso pelo consumidor.</t>
  </si>
  <si>
    <t>A indústria não possui nenhuma prática de planejamento e execução, com foco na melhoria contínua para redução das emissões GEE de seus produtos, durante o uso pelo consumidor.</t>
  </si>
  <si>
    <t>A indústria possui práticas de planejamento e execução, com foco na melhoria contínua da redução de emissões GEE de ao menos um de seus produtos, durante o uso pelo consumidor.</t>
  </si>
  <si>
    <t>Além de atender ao nível anterior, ao menos 50% do portfólio de produtos da indústria está etiquetado e rotulado por Programas como o CONPET, alcançando, em média, os níveis A ou B de classificação geral. Caso não aplicável o CONPET e similares, pode-se calcular e informar ao consumidor a emissão média de CO2e.</t>
  </si>
  <si>
    <t xml:space="preserve">Além de atender ao nível anterior, a indústria possui metas claramente definidas e comunicadas ao mercado sobre a redução de emissões GEE, durante o uso pelo consumidor. </t>
  </si>
  <si>
    <t>A indústria não utiliza embalagens certificadas (FSC, CERFLOR, EuCertPlast ou similar). Caso não aplicável (materiais sem programa de certificação disponível), a indústria não possui práticas de planejamento e execução, com foco na melhoria contínua, em termos de design, rastreabilidade das matérias-primas e reciclabilidade.</t>
  </si>
  <si>
    <t>A indústria utiliza, em parte de seus produtos, embalagens certificadas (FSC, CERFLOR, EuCertPlast ou similar). Caso não aplicável (materiais sem programa de certificação disponível), a indústria possui práticas de planejamento e execução, com foco na melhoria contínua, em termos de design, rastreabilidade das matérias-primas e reciclabilidade de parte de suas linhas de produto.</t>
  </si>
  <si>
    <t xml:space="preserve">A indústria utiliza, em 100% de seus produtos, embalagens certificadas (FSC, CERFLOR, EuCertPlast ou similar). Caso não aplicável (materiais sem programa de certificação disponível), a indústria possui práticas de planejamento e execução, com foco na melhoria contínua, em termos de design, rastreabilidade das matérias-primas e reciclabilidade de todas suas linhas de produto. </t>
  </si>
  <si>
    <t>Além do atendimento ao nível anterior, a indústria possui projetos e iniciativas de pesquisa, desenvolvimento e inovação, com foco na redução do impacto ambiental das embalagens. Estas ações podem ser internas ou externas (parcerias com fornecedores, startups, universidades, etc.).</t>
  </si>
  <si>
    <t>A indústria não realiza qualquer projeto ou ação, de forma individual ou coletiva (outras empresas, associações, etc.), destinados a viabilizar a coleta e a restituição dos resíduos sólidos do produto pós-consumo ao setor empresarial, para reaproveitamento, em seu ciclo ou em outros ciclos produtivos, ou outra destinação final ambientalmente adequada</t>
  </si>
  <si>
    <t>A indústria realiza projeto ou ação, de forma individual ou coletiva (outras empresas, associações, etc.), destinados a viabilizar a coleta e a restituição dos resíduos sólidos do produto pós-consumo ao setor empresarial, para reaproveitamento, em seu ciclo ou em outros ciclos produtivos, ou outra destinação final ambientalmente adequada. Caso esteja sujeito à metas de logística definidas em acordos setoriais ou outros instrumentos, está atendendo parcialmente a estas obrigações.</t>
  </si>
  <si>
    <t>A indústria realiza projeto ou ação, de forma individual ou coletiva (outras empresas, associações, etc.), destinados a viabilizar a coleta e a restituição dos resíduos sólidos do produto pós-consumo ao setor empresarial, para reaproveitamento, em seu ciclo ou em outros ciclos produtivos, ou outra destinação final ambientalmente adequada. Caso esteja sujeito a metas de logística definidas em acordos setoriais ou outros instrumentos, está atendendo integralmente a estas obrigações.</t>
  </si>
  <si>
    <t>Além de atender ao nível anterior, os projetos ou ações da indústria incluem campanhas de educação ambiental dirigidas aos seus consumidores, visando ao descarte adequado dos produtos pós-consumo.</t>
  </si>
  <si>
    <t>A indústria não cumpre as obrigações legais de logística resersa de embalagens em geral, ainda que parcialmente.</t>
  </si>
  <si>
    <t>A indústria cumpre integralmente as obrigações legais de logística reversa de embalagens em geral, nos limites territoriais e termos do Acordo Setorial ou outro compromisso de âmbito nacional que o substitua</t>
  </si>
  <si>
    <t>Além de atender ao nível anterior, a indústria vai além do percentual de embalagens obrigatórias sujeitas à logística reversa, compensando 50% ou mais das embalagens inserida em cada um dos Estados da Federação.</t>
  </si>
  <si>
    <t>A indústria adota práticas mínimas de rastreio, com foco na legalidade da origem. São utilizadas ferramentas como aplicação de questionários autodeclaratórios dirigidos aos fornecedores e busca (pesquisa) de evidências de conformidade.</t>
  </si>
  <si>
    <t>A indústria vai além da legalidade e estimula e/ou dá preferência publicamente a fornecedores com ao menos 01 das seguintes boas práticas: produção orgânica, não resultante da ocupação de áreas de desmatamento ilegal, produtos livres de metais pesados e/ou manejo humanizado.</t>
  </si>
  <si>
    <t>A indústria não só estimula e/ou dá preferência às boas práticas descritas no nível “sensibilizada”, como também define ao menos 01 delas como critérios de seleção de fornecedores inegociável.</t>
  </si>
  <si>
    <t>Além da conformidade com o nível anterior, a indústria dispõe de tecnologia digital de rastreio que permite ao cliente (B2B ou B2C) visualizar dados básicos acerca da procedência e origem da matéria-prima e/ou insumo.</t>
  </si>
  <si>
    <t>A indústria está irregular em relação a um ou mais das seguintes legislações e exigências regulamentares: transporte de produtos perigosos; certificados da Polícia Federal e Ministério da Defesa (Exército); Documento de Origem Florestal (DOF); e Autorização de Funcionamento de Empresas (AFE) da ANVISA.</t>
  </si>
  <si>
    <t>A indústria está regular em relação às seguintes legislações e exigências regulamentares: transporte de produtos perigosos; certificados da Polícia Federal e Ministério da Defesa (Exército); Documento de Origem Florestal (DOF); e Autorização de Funcionamento de Empresas (AFE) da ANVISA.</t>
  </si>
  <si>
    <t xml:space="preserve">Atendimento e satisfação do consumidor </t>
  </si>
  <si>
    <t>Atendimento ao Cliente</t>
  </si>
  <si>
    <t>A indústria tem histórico de condenação, nos últimos dois anos, com trânsito em julgado administrativo ou judicial, decorrente da não realização ou realização indevida de ensaios e testes para garantir a segurança do consumidor em relação aos produtos que coloca no mercado.</t>
  </si>
  <si>
    <t>Além de não possuir histórico de condenação de que trata o nível anterior, a indústria realiza todos os ensaios e testes exigidos pela legislação para garantir a segurança do consumidor em relação aos produtos que coloca no mercado.</t>
  </si>
  <si>
    <t>Além de atender ao nível anterior, a indústria possui possuí políticas e/ou procedimentos documentados para agir e solucionar problemas e riscos detectados após o lançamento dos produtos no mercado. Estes procedimentos incluem mecanismos como recall ou devolução, pelo consumidor, do produto.</t>
  </si>
  <si>
    <t xml:space="preserve">Além de atender ao nível anterior, a indústria é destaque em Programas que reconhecem o nível de segurança de produtos, como, por exemplo, o alcance da pontuação máxima no Latin NCAP para veículos. Ou, caso aplicável, possui selos ou certificações relacionadas à ausência de substâncias tóxicas e nocivas à saúde humana e/ou ao meio ambiente, como por exemplo, panelas livres de PFOA.   </t>
  </si>
  <si>
    <t>A indústria não possui canais de atendimento ao consumidor ou, caso possua, há evidências de que é falho o retorno aos consumidores. Ainda que possua canais de atendimento, caso a avaliação da indústria em rankings de satisfação de clientes, como o Reclame Aqui, seja insatisfatório (abaixo do nível regular), também será considerada não conforme.</t>
  </si>
  <si>
    <t>A indústria possui canais de atendimento ao consumidor e, além disso, a avaliação da indústria em rankings de satisfação de clientes, como o Reclame Aqui, é satisfatória (nível regular ou superior).</t>
  </si>
  <si>
    <t>Além de atender ao nível anterior, a indústria recebeu premiações de destaque em atendimento ou satisfação do consumidor, como, por exemplo, o Prêmio Reclame Aqui, ou outros similares.</t>
  </si>
  <si>
    <t>A indústria não possui políticas nem procedimentos relacionados à gestão da propriedade intelectual. E, ainda que possua políticas e procedimentos, a indústria estará não conforme caso haja histórico de condenação, nos últimos dois anos, com trânsito em julgado administrativo ou judicial, decorrente de violação de normas de propriedade intelectual.</t>
  </si>
  <si>
    <t>A indústria possui políticas e procedimentos para a gestão da propriedade intelectual. Seus principais produtos e marcas estão devidamente protegidos. Não há histórico de condenação, nos últimos dois anos, com trânsito em julgado administrativo ou judicial, decorrente de violação de normas de propriedade intelectual.</t>
  </si>
  <si>
    <t>Além de atender ao nível anterior, a indústria voluntariamente abre mão de patente, visando disseminar produtos e tecnologias de exponencial impacto social e/ou ambiental. Caso não aplicável, a indústria realiza doações de produtos ou executa projetos de acesso facilitado por populações de baixa renda, governos ou grupos minoritários.</t>
  </si>
  <si>
    <t>INDÚSTRIA FRIGORÍFICA E DERIVADOS</t>
  </si>
  <si>
    <t>CONSTRUÇÃO CIVIL</t>
  </si>
  <si>
    <t>INDÚSTRIAS DE TRANSFORMAÇÃO DIVERSAS</t>
  </si>
  <si>
    <t>ENERGIA, TELECOMUNICAÇÕES, RESÍDUOS E SIMILARES</t>
  </si>
  <si>
    <t>PAPEL E CELULOSE</t>
  </si>
  <si>
    <t>CALÇADOS E COMPONENTES PARA CALÇADOS, COURO, CONFECÇÕES TÊXTEIS E ARTEFATOS</t>
  </si>
  <si>
    <t>EXTRAÇÃO DE MINERAIS METÁLICOS, NÃO METÁLICOS/AGROINDÚSTRIA</t>
  </si>
  <si>
    <t>A indústria emite gases potencialmente poluidores em suas operações, mas não realiza tratamento e/ou controle destas emissões. O atendimento aos padrões de qualidade para lançamento é desconhecido, ou os resultados apontam habitual não atendimento.</t>
  </si>
  <si>
    <t>A indústria emite gases potencialmente poluidores em suas operações, realizando o tratamento e o controle destas emissões. Os padrões de qualidade para lançamento são habitualmente atendidos, podendo ocorrer oscilações eventuais de não atendimento.</t>
  </si>
  <si>
    <t>Além de atender ao nível anterior, a indústria não foi condenada, nos últimos 2 anos, em processos de responsabilidade administrativa, cível ou criminal, por ação ou omissão relacionada ao tratamento ou controle irregular da poluição atmosférica.</t>
  </si>
  <si>
    <t>Além de atender ao nível anterior, a indústria elaborou e executou – nos últimos 2 anos - ao menos um projeto com o objetivo de melhorar o tratamento dos gases emitidos em sua operação, como investimento em novos equipamentos, ou melhoria nos processos de manutenção.</t>
  </si>
  <si>
    <t>Além de atender ao nível anterior, o monitoramento das emissões de gases se dá por meio de sistema digital e em tempo real, com possibilidade de alerta para interrupção das operações ou mesmo automatização desta trava em caso de problemas que resultem em emissões indevidas em nível crítico.</t>
  </si>
  <si>
    <t>Além de atender ao nível anterior, o plano de emergência e/ou a documentação correlacionada prevê, expressamente, as medidas a serem adotadas para preservação da saúde da população da vizinhança e comunidades afetadas.</t>
  </si>
  <si>
    <t>Além de atender ao nível anterior, o plano de emergência e/ou a documentação correlacionada prevê, expressamente, as medidas a serem adotadas para preservação da fauna e da flora potencialmente afetadas.</t>
  </si>
  <si>
    <t xml:space="preserve">A indústria não tem por prática estudar os impactos ambientais de seus empreendimentos na fase de elaboração de projetos. Ou, caso realize estudos de impacto ambiental, estes são superficiais ou não buscaram eliminar ou mitigar impactos ambientais significativos à saúde humana ou ao meio ambiente. </t>
  </si>
  <si>
    <t xml:space="preserve">A indústria tem por prática estudar os impactos ambientais de seus empreendimentos na fase de elaboração de projetos. Além disso, estes estudos demonstram que a indústria efetivamente identificou os principais impactos e buscou eliminá-los ou mitigá-los. </t>
  </si>
  <si>
    <t>Além de atender ao nível anterior, a indústria realizou compensações ambientais que vão além do que era exigido por Lei ou pelos órgãos ambientais no âmbito de Estudo de Impacto Ambiental (EIA), Estudo de Impacto de Vizinhança (EIV) ou similares.</t>
  </si>
  <si>
    <t>Além de atender ao nível anterior, os projetos de implantação do empreendimento foram elaborados seguindo as normas de programa de certificação em sustentabilidade na construção, o que é atestado por meio da certificação de ao menos um empreendimento. Exemplos: selos LEED, AQUA ou EDGE.</t>
  </si>
  <si>
    <t xml:space="preserve">As práticas da indústria para proteção da biodiversidade durante as operações são ineficazes e não mitigam significativamente os impactos.  </t>
  </si>
  <si>
    <t>As práticas da indústria para proteção da biodiversidade durante as operações são eficazes e mitigam significativamente os impactos. Porém, as rotinas de inspeção e manutenção não estão devidamente formalizadas ou, caso estejam, não há evidências de que estejam sendo regularmente cumpridas.</t>
  </si>
  <si>
    <t>As práticas da indústria para proteção da biodiversidade durante as operações são eficazes e mitigam significativamente os impactos. Além disso, as rotinas de inspeção e manutenção estão devidamente formalizadas e há evidências de que estão sendo regularmente cumpridas.</t>
  </si>
  <si>
    <t>Além de atender ao nível anterior, a indústria investe (ou investiu, nos últimos 2 anos) em pesquisa e desenvolvimento de novas tecnologias para mitigação de impactos ambientais durante a operação, seja por meio de projetos internos seja por parcerias com startups e universidades, por exemplo.</t>
  </si>
  <si>
    <t>A indústria não controla a destinação de materiais e equipamentos após o uso ou, caso controle, não há evidências de esforços para evitar a disposição em aterros ou mesmo destinação irregular.</t>
  </si>
  <si>
    <t>A indústria controla a destinação de materiais e equipamentos após o uso. Há evidências de esforços para evitar a disposição em aterros ou mesmo destinação irregular, com foco em garantir a reutilização ou reciclagem destes itens. A eficácia é parcial, ainda há resíduos desta categoria sem solução técnica de reaproveitamento.</t>
  </si>
  <si>
    <t>A indústria controla a destinação de materiais e equipamentos após o uso. Há evidências de esforços para evitar a disposição em aterros ou mesmo destinação irregular, com foco em garantir a reutilização ou reciclagem destes itens. A eficácia é total, não há resíduos desta categoria sem solução técnica de reaproveitamento.</t>
  </si>
  <si>
    <t xml:space="preserve">A indústria não tem por prática estudar os impactos sociais de seus empreendimentos na fase implantação e operação. Ou, caso realize estudos de impacto social, estes são superficiais ou não buscam eliminar ou mitigar impactos sociais significativos. </t>
  </si>
  <si>
    <t xml:space="preserve">A indústria tem por prática estudar os impactos sociais de seus empreendimentos nas fases de implantação e operação. Além disso, estes estudos demonstram que a indústria efetivamente identificou os principais impactos e busca eliminá-los ou mitigá-los. </t>
  </si>
  <si>
    <t>Além de atender ao nível anterior, a indústria realizou compensações sociais que vão além do que era exigido por Lei ou pelos órgãos públicos no âmbito de Estudo de Impacto de Vizinhança (EIV), Estudo de Viabilidade Urbanística (EVU) ou similares.</t>
  </si>
  <si>
    <t>Além de atender ao nível anterior, entre os projetos  sociais da indústria está a educação básica e técnica da população das comunidades nas quais seus empreendimentos estão inseridos, priorizando os profissionais oriundos destes programas para a ocupação das vagas de emprego.</t>
  </si>
  <si>
    <t>A indústria não realiza avaliações (medições) de conformidade em relação às radiações de nenhum de seus equipamentos emissores. Ou, caso realize, a maioria deles não atende aos limites previstos em lei, conforme laudo técnico emitido por profissional habilitado.</t>
  </si>
  <si>
    <t>A indústria realiza avaliações (medições) de conformidade em relação às radiações de parte de seus equipamentos emissores, incluindo todos os situados em área crítica, se houver. A maioria dos que estão fora da área crítica, bem como todos os situados nesta área, atendem aos limites previstos em lei, conforme laudo técnico emitido por profissional habilitado.</t>
  </si>
  <si>
    <t>Além de atender ao nível anterior, a indústria adota todas as medidas de precaução possíveis para trabalhadores que estão mais expostos à radiação em função de suas atividades, como soldadores e eletricistas. Todos os EPIs necessários para evitar exposição prolongada são fornecidos, protegendo em especial olhos e pele.</t>
  </si>
  <si>
    <t>A indústria não realiza rotinas preventivas para garantir que ruídos, vibrações, odores e impurezas não causem impactos negativos à vizinhança.</t>
  </si>
  <si>
    <t>A indústria realiza rotinas preventivas para garantir que ruídos, vibrações, odores e impurezas não causem impactos negativos à vizinhança, incluindo, no mínimo: elaboração de laudo técnico favorável sobre ao menos um dos fatores de emissão, com periodicidade anual; e disponibilização de canal de ouvidoria na comunidade, devidamente divulgado aos potenciais interessados.</t>
  </si>
  <si>
    <t xml:space="preserve">Além de atender ao nível anterior, não há registros de condenação, nos últimos 2 anos, em processos administrativos e judiciais, por danos às propriedades vizinhas, perturbação do sossego alheio ou mesmo danos materiais e morais a pessoas, em decorrência de ruídos, vibrações, odores e impurezas emitidos pela indústria em atividades. </t>
  </si>
  <si>
    <t>A indústria não realiza ações de estímulo ao uso racional de recursos. Não há publicação de conteúdo a respeito do tema em nenhum dos canais de comunicação da indústria com a população e consumidores.</t>
  </si>
  <si>
    <t>A indústria realiza ações de estímulo ao uso racional de recursos. Há publicação de conteúdo a respeito do tema em nenhum dos canais de comunicação da indústria com a população e consumidores. Porém, não são realizados projetos como, por exemplo, de eficiência energética, gestão de resíduos ou uso saudável da internet, na comunidade.</t>
  </si>
  <si>
    <t>A indústria realiza ações de estímulo ao uso racional de recursos. Há publicação de conteúdo a respeito do tema em nenhum dos canais de comunicação da indústria com a população e consumidores. Além disso, são realizados projetos, por exemplo, de eficiência energética, gestão de resíduos ou uso saudável da internet na comunidade.</t>
  </si>
  <si>
    <t>Os indicadores da indústria e/ou dos órgãos de controle demonstram que a empresa – de forma reiterada – apresenta problemas de descontinuidade e ineficiência na prestação (fornecimento) de seus serviços, causando transtornos ou mesmo prejuízos aos consumidores.</t>
  </si>
  <si>
    <t>Os indicadores da indústria e/ou dos órgãos de controle demonstram que a empresa presta (fornece) seus serviços de forma regular e com qualidade. Ao longo dos últimos 2 anos, porém, apresentou – de forma eventual – episódios de descontinuidade por ato da indústria ou não atendimento de metas de indicadores.</t>
  </si>
  <si>
    <t>Os indicadores da indústria e/ou dos órgãos de controle demonstram que a empresa presta (fornece) seus serviços de forma regular e com qualidade. Ao longo dos últimos 2 anos, não há registros de episódios de descontinuidade por ato da indústria ou não atendimento de metas de indicadores.</t>
  </si>
  <si>
    <t>A indústria não possui políticas e procedimentos regrando as práticas produtivas com foco em ecoeficiência e sustentabilidade das operações, bem como planejamentos de exploração e recuperação de áreas.</t>
  </si>
  <si>
    <t>A indústria possui políticas e procedimentos regrando as práticas produtivas com foco em ecoeficiência e sustentabilidade das operações, bem como planejamentos de exploração e recuperação de áreas. Porém, a execução e o controle apresentam falhas injustificadas.</t>
  </si>
  <si>
    <t>A indústria possui políticas e procedimentos regrando as práticas produtivas com foco em ecoeficiência e sustentabilidade das operações, bem como planejamentos de exploração e recuperação de áreas. Além disso, a execução e o controle que apresentam estas diretrizes, regras e planos é satisfatória, ainda que apresente falhas justificadas.</t>
  </si>
  <si>
    <t>Além de atender ao nível anterior, a indústria adota práticas de recuperação ambiental para além do que é exigido pela lei ou pelos órgãos ambientais, seja nas áreas afetadas por suas atividades, seja noutras áreas, sem necessariamente guardar relação de compensação.</t>
  </si>
  <si>
    <t>Além de atender ao nível anterior, a indústria realiza atividades de inovação, pesquisa &amp; desenvolvimento, internamente ou por meio de parcerias com universidades, startups, fornecedores etc. para adoção de novas tecnologias e práticas de ecoeficiência.</t>
  </si>
  <si>
    <t xml:space="preserve">A indústria não realiza suas atividades por meio de sistemas orgânicos de produtos, nos termos das normas que regulamentam o tema. Ou, caso realize, há evidências de que as práticas não estão em conformidade plena com estas regras. </t>
  </si>
  <si>
    <t xml:space="preserve">A indústria realiza suas atividades por meio de sistemas orgânicos de produtos, nos termos das normas que regulamentam o tema. Há evidências de que as práticas estão em conformidade plena com estas regras. </t>
  </si>
  <si>
    <t>Além de atender ao nível anterior, a indústria possui certificações de terceira parte e selos atestando a conformidade de seus processos com as melhores práticas de produção orgânica, bem-estar animal, cage-free (sem gaiolas), ou outras similares.</t>
  </si>
  <si>
    <t>Além de atender ao nível anterior, os sistemas orgânicos de produção incluem expressamente aspectos sociais, como a priorização de trabalhadores da comunidade local, o cooperativismo, comércio justo e/ou capacitação técnica de produtores e fornecedores da cadeia.</t>
  </si>
  <si>
    <t xml:space="preserve">A indústria não tem por prática estudar os impactos ambientais de seus empreendimentos nas fases de elaboração e operação. Ou, caso realize estudos de impacto ambiental, estes são superficiais ou não buscaram eliminar ou mitigar impactos ambientais significativos à saúde humana ou ao meio ambiente. </t>
  </si>
  <si>
    <t xml:space="preserve">A indústria tem por prática estudar os impactos ambientais de seus empreendimentos nas fases de elaboração e operação. Além disso, estes estudos demonstram que a indústria efetivamente identificou os principais impactos e buscou eliminá-los ou mitigá-los. </t>
  </si>
  <si>
    <t>Além de atender ao nível anterior, os produtos fabricados são comercializados acompanhados de registro preciso da origem e das práticas sustentáveis aplicadas na produção, garantindo a rastreabilidade e a conferência da veracidade destas informações (sistema como códigos consultáveis, QR Code etc.).</t>
  </si>
  <si>
    <t xml:space="preserve">A indústria tem operações de alto risco sob sua responsabilidade, mas não faz a gestão adequada, apresentando falhas (não conformidades) nas atividades de monitoramento e manutenção preventiva, ou sequer as realizando. </t>
  </si>
  <si>
    <t xml:space="preserve">A indústria tem operações de alto risco sob sua responsabilidade, e faz a gestão adequada, ainda que apresente oportunidades de melhoria nas atividades de monitoramento e manutenção preventiva. </t>
  </si>
  <si>
    <t xml:space="preserve">A indústria tem operações de alto risco sob sua responsabilidade, e faz a gestão adequada, estando em plena conformidade e alinhada com as melhores práticas nas atividades de monitoramento e manutenção preventiva. </t>
  </si>
  <si>
    <t xml:space="preserve">Além de atender ao nível anterior, empresas altamente especializadas no tipo de operação de alto risco realizado, com reconhecimento internacional, promovem auditoria específica a esta atividade, com periodicidade, no mínimo, bianual e garantem (atestam) a segurança da operação. </t>
  </si>
  <si>
    <t>A indústria opera em áreas sensíveis ou conflituosas . Conflitos e protestos foram registrados nos últimos 2 anos,  não possuindo a indústria um acordo benéfico e aceito por todas as partes envolvidas.</t>
  </si>
  <si>
    <t>A indústria opera em áreas sensíveis ou conflituosas. Não foram registrados conflitos e protestos nos últimos 2 anos, ou, caso tenham ocorrido, a indústria possui um acordo benéfico e aceito por todas as partes envolvidas.</t>
  </si>
  <si>
    <t>A indústria não opera em áreas sensíveis ou conflituosas. Além disso, a indústria assume publicamente seu compromisso de não operar em áreas indígenas e quilombolas.</t>
  </si>
  <si>
    <t>A indústria realiza rotinas preventivas para garantir que ruídos, vibrações, odores e impurezas não causem impactos negativos à vizinhança, às quais incluem, no mínimo: elaboração de laudo técnico favorável sobre ao menos um dos fatores de emissão, com periodicidade anual; e disponibilização de canal de ouvidoria junto á comunidade, devidamente divulgado aos potenciais interessados.</t>
  </si>
  <si>
    <t xml:space="preserve">Além de atender ao nível anterior, não há registros de condenação, nos últimos 2 anos, em processos administrativos e judiciais, por danos às propriedades vizinhas, perturbação do sossego alheio ou mesmo danos materiais e morais a pessoas, em decorrência de ruídos, vibrações, odores e impurezas emitidos pela indústria em suas atividades. </t>
  </si>
  <si>
    <t>A indústria não possui todas as concessões, lavras, autorizações e outorgas necessárias para o exercício de suas atividades, ou há documentos vencidos.</t>
  </si>
  <si>
    <t>A indústria possui todas as concessões, lavras, autorizações e outorgas necessárias e válidas para o exercício de suas atividades.</t>
  </si>
  <si>
    <t>A indústria não utiliza energia de fontes limpas e renováveis ou não tem processos de tratamento e reuso de água em nenhuma etapa de seu processo</t>
  </si>
  <si>
    <t>A indústria realiza a compra de energia através do mercado livre sem rastreamento e/ou realiza a reutilização de água em parte de seu processo.</t>
  </si>
  <si>
    <t>A indústria realiza a compra de energia rastreada e fontes zero emissão de gases de efeito estufa para ao menos 50% de suas operações ou reutiliza mais de 50% da água utilizado em seu processo.</t>
  </si>
  <si>
    <t>A indústria realiza a compra de energia rastreada e fontes zero emissão de gases de efeito estufa para 100% das suas operações e reutiliza mais de 75% da água utilizada em seu processo.</t>
  </si>
  <si>
    <t>Além de atender ao nível anterior, a indústria realiza processos de aproveitamento de energético através do uso de biomassa e outros gases emitidos durante suas atividades para geração de energia.</t>
  </si>
  <si>
    <t>A indústria não realiza a compensação florestal conforme legislação vigente no estado do Mato Grosso do Sul.</t>
  </si>
  <si>
    <t xml:space="preserve">A indústria não realiza a compensação florestal conforme legislação vigente no estado do Mato Grosso do sul, porém, tem projetos e cronogramas de adequação estabelecidos e em andamento. </t>
  </si>
  <si>
    <t>A indústria realiza a compensação florestal integralmente conforme estabelecido pela legislação vigente no estado do Mato Grosso do Sul.</t>
  </si>
  <si>
    <t>A indústria além de realizar a compensação florestal conforme determina a legislação estadual, realiza a preservação de áreas adicionais as estabelecidas pela lei de forma voluntária.</t>
  </si>
  <si>
    <t>A indústria tem operações de alto risco sob sua responsabilidade, mas não faz a gestão adequada, apresentando falhas (não conformidades) nas atividades de monitoramento e manutenção preventiva, ou sequer as realizando.</t>
  </si>
  <si>
    <t xml:space="preserve">A indústria não tem certificação FSC. </t>
  </si>
  <si>
    <t>A indústria possui certificação FSC em parte de suas operações</t>
  </si>
  <si>
    <t>A indústria tem certificação FSC para todas as suas operações e produtos.</t>
  </si>
  <si>
    <t>A indústria não tem possui procedimentos e métodos de segurança eficazes para lidar com situações críticas de trabalho sob alto risco, operador solitário e transportes perigosos</t>
  </si>
  <si>
    <t>A indústria possui controles e procedimentos para proteger os colaboradores em operações realizadas em ambientes críticos</t>
  </si>
  <si>
    <t>Além do nível anterior a empresa executa auditorias periódicas de monitoramento de segurança nos ambientes críticos visando acompanhar situações potenciais de risco</t>
  </si>
  <si>
    <t>Além de atender o nível anterior, a indústria é certificada em norma referente a saúde e segurança como OHSAS18001 e ISO45001</t>
  </si>
  <si>
    <t>Caderno</t>
  </si>
  <si>
    <t>Geral</t>
  </si>
  <si>
    <t xml:space="preserve">Economia circular e resíduos sólidos </t>
  </si>
  <si>
    <t>Mudanças Climáticas</t>
  </si>
  <si>
    <t>Relações e práticas de trabalho</t>
  </si>
  <si>
    <t>Diversidade, Equidade e Inclusão</t>
  </si>
  <si>
    <t>2, 3</t>
  </si>
  <si>
    <t>13, 14, 15</t>
  </si>
  <si>
    <t>14, 15</t>
  </si>
  <si>
    <t>10, 11, 12, 15</t>
  </si>
  <si>
    <t>3, 8, 12, 15</t>
  </si>
  <si>
    <t>8, 12</t>
  </si>
  <si>
    <t>11, 17</t>
  </si>
  <si>
    <t>CADERNO GERAL</t>
  </si>
  <si>
    <t>codigo_ajustado</t>
  </si>
  <si>
    <t>Sim</t>
  </si>
  <si>
    <t>Não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</si>
</sst>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0"/>
      <color theme="0"/>
      <name val="Tahoma"/>
      <family val="2"/>
    </font>
    <font>
      <b/>
      <sz val="11"/>
      <color theme="0"/>
      <name val="Trebuchet MS"/>
      <family val="2"/>
    </font>
    <font>
      <b/>
      <sz val="11"/>
      <color rgb="FFFFFFFF"/>
      <name val="Trebuchet MS"/>
      <family val="2"/>
    </font>
    <font>
      <b/>
      <sz val="10"/>
      <name val="Tahoma"/>
      <family val="2"/>
    </font>
    <font>
      <sz val="10"/>
      <name val="Tahoma"/>
      <family val="2"/>
    </font>
    <font>
      <sz val="10"/>
      <color rgb="FFFF0000"/>
      <name val="Tahoma"/>
      <family val="2"/>
    </font>
    <font>
      <sz val="11"/>
      <name val="Calibri"/>
      <family val="2"/>
      <scheme val="minor"/>
    </font>
    <font>
      <sz val="10"/>
      <color theme="1"/>
      <name val="Tahoma"/>
      <family val="2"/>
    </font>
    <font>
      <b/>
      <sz val="11"/>
      <name val="Calibri"/>
      <family val="2"/>
      <scheme val="minor"/>
    </font>
    <font>
      <b/>
      <sz val="11"/>
      <color theme="1"/>
      <name val="Calibri"/>
      <family val="2"/>
      <scheme val="minor"/>
    </font>
    <font>
      <sz val="11"/>
      <name val="Calibri"/>
      <family val="2"/>
    </font>
  </fonts>
  <fills count="6">
    <fill>
      <patternFill patternType="none"/>
    </fill>
    <fill>
      <patternFill patternType="gray125"/>
    </fill>
    <fill>
      <patternFill patternType="solid">
        <fgColor rgb="FFE6E9F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59999389629810485"/>
        <bgColor indexed="64"/>
      </patternFill>
    </fill>
  </fills>
  <borders count="37">
    <border>
      <left/>
      <right/>
      <top/>
      <bottom/>
      <diagonal/>
    </border>
    <border>
      <left/>
      <right/>
      <top style="thin">
        <color theme="4" tint="0.39997558519241921"/>
      </top>
      <bottom style="thin">
        <color theme="4" tint="0.39997558519241921"/>
      </bottom>
      <diagonal/>
    </border>
    <border>
      <left/>
      <right style="medium">
        <color rgb="FFFFFFFF"/>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medium">
        <color rgb="FFFFFFFF"/>
      </right>
      <top style="thin">
        <color theme="4" tint="0.39997558519241921"/>
      </top>
      <bottom/>
      <diagonal/>
    </border>
    <border>
      <left/>
      <right/>
      <top/>
      <bottom style="thin">
        <color rgb="FF8EA9D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60">
    <xf numFmtId="0" fontId="0" fillId="0" borderId="0" xfId="0"/>
    <xf numFmtId="0" fontId="4" fillId="0" borderId="0" xfId="0" applyFont="1" applyFill="1" applyBorder="1" applyAlignment="1">
      <alignment vertical="center" wrapText="1"/>
    </xf>
    <xf numFmtId="0" fontId="6" fillId="0" borderId="0" xfId="0" applyFont="1" applyFill="1" applyBorder="1" applyAlignment="1">
      <alignment vertical="center" wrapText="1"/>
    </xf>
    <xf numFmtId="1" fontId="6" fillId="0" borderId="0" xfId="0" applyNumberFormat="1" applyFont="1" applyFill="1" applyBorder="1" applyAlignment="1">
      <alignment vertical="center" wrapText="1"/>
    </xf>
    <xf numFmtId="0" fontId="7" fillId="0" borderId="0" xfId="0" applyFont="1" applyFill="1" applyBorder="1" applyAlignment="1">
      <alignment horizontal="center" vertical="center" wrapText="1"/>
    </xf>
    <xf numFmtId="0" fontId="8" fillId="0" borderId="0" xfId="0" applyFont="1" applyFill="1" applyBorder="1" applyAlignment="1">
      <alignment vertical="center" wrapText="1"/>
    </xf>
    <xf numFmtId="0" fontId="9" fillId="0" borderId="0" xfId="0" applyFont="1" applyFill="1" applyBorder="1" applyAlignment="1">
      <alignment vertical="center" wrapText="1"/>
    </xf>
    <xf numFmtId="0" fontId="0" fillId="0" borderId="0" xfId="0" applyFill="1" applyBorder="1"/>
    <xf numFmtId="0" fontId="10" fillId="0" borderId="0" xfId="0" applyFont="1" applyFill="1" applyBorder="1" applyAlignment="1">
      <alignment vertical="center" wrapText="1"/>
    </xf>
    <xf numFmtId="0" fontId="0" fillId="0" borderId="0" xfId="0" applyFill="1"/>
    <xf numFmtId="0" fontId="11" fillId="0" borderId="0" xfId="0" applyFont="1" applyFill="1" applyBorder="1" applyAlignment="1">
      <alignment vertical="center" wrapText="1"/>
    </xf>
    <xf numFmtId="0" fontId="8" fillId="4" borderId="1" xfId="0" applyFont="1" applyFill="1" applyBorder="1" applyAlignment="1">
      <alignment vertical="center" wrapText="1"/>
    </xf>
    <xf numFmtId="0" fontId="8" fillId="0" borderId="1" xfId="0" applyFont="1" applyBorder="1" applyAlignment="1">
      <alignment vertical="center" wrapText="1"/>
    </xf>
    <xf numFmtId="0" fontId="11" fillId="0" borderId="1" xfId="0" applyFont="1" applyBorder="1" applyAlignment="1">
      <alignment vertical="center" wrapText="1"/>
    </xf>
    <xf numFmtId="0" fontId="11" fillId="4" borderId="1" xfId="0" applyFont="1" applyFill="1" applyBorder="1" applyAlignment="1">
      <alignment vertical="center" wrapText="1"/>
    </xf>
    <xf numFmtId="0" fontId="11" fillId="2" borderId="2" xfId="0" applyFont="1" applyFill="1" applyBorder="1" applyAlignment="1">
      <alignment vertical="center" wrapText="1"/>
    </xf>
    <xf numFmtId="0" fontId="11" fillId="2" borderId="1" xfId="0" applyFont="1" applyFill="1" applyBorder="1" applyAlignment="1">
      <alignment vertical="center" wrapText="1"/>
    </xf>
    <xf numFmtId="0" fontId="12" fillId="0" borderId="0" xfId="0" applyFont="1" applyFill="1" applyBorder="1" applyAlignment="1">
      <alignment horizontal="right" vertical="center" wrapText="1"/>
    </xf>
    <xf numFmtId="0" fontId="2" fillId="0" borderId="0" xfId="0" applyFont="1" applyFill="1" applyBorder="1" applyAlignment="1">
      <alignment vertical="center" wrapText="1"/>
    </xf>
    <xf numFmtId="0" fontId="12" fillId="0" borderId="0" xfId="0" applyFont="1" applyFill="1" applyBorder="1" applyAlignment="1">
      <alignment horizontal="center" vertical="center" wrapText="1"/>
    </xf>
    <xf numFmtId="0" fontId="0" fillId="0" borderId="0" xfId="0" applyFont="1" applyFill="1" applyBorder="1"/>
    <xf numFmtId="0" fontId="0" fillId="0" borderId="0" xfId="0" applyAlignment="1">
      <alignment horizontal="right"/>
    </xf>
    <xf numFmtId="0" fontId="2" fillId="0" borderId="0" xfId="0" applyFont="1" applyFill="1" applyAlignment="1">
      <alignment vertical="center" wrapText="1"/>
    </xf>
    <xf numFmtId="0" fontId="2" fillId="0" borderId="4" xfId="0" applyFont="1" applyFill="1" applyBorder="1" applyAlignment="1">
      <alignment vertical="center" wrapText="1"/>
    </xf>
    <xf numFmtId="0" fontId="0" fillId="0" borderId="0" xfId="0" applyBorder="1"/>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vertical="center" wrapText="1"/>
    </xf>
    <xf numFmtId="0" fontId="11" fillId="0" borderId="3" xfId="0" applyFont="1" applyBorder="1" applyAlignment="1">
      <alignment vertical="center" wrapText="1"/>
    </xf>
    <xf numFmtId="0" fontId="7"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6" xfId="0" applyFont="1" applyFill="1" applyBorder="1" applyAlignment="1">
      <alignment vertical="center" wrapText="1"/>
    </xf>
    <xf numFmtId="0" fontId="8" fillId="0" borderId="3" xfId="0" applyFont="1" applyFill="1" applyBorder="1" applyAlignment="1">
      <alignment vertical="center" wrapText="1"/>
    </xf>
    <xf numFmtId="0" fontId="10" fillId="4" borderId="1" xfId="0" applyFont="1" applyFill="1" applyBorder="1" applyAlignment="1">
      <alignment vertical="center" wrapText="1"/>
    </xf>
    <xf numFmtId="0" fontId="10" fillId="0" borderId="1" xfId="0" applyFont="1" applyBorder="1" applyAlignment="1">
      <alignment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0" fillId="0" borderId="3" xfId="0" applyFont="1" applyBorder="1" applyAlignment="1">
      <alignment vertical="center" wrapText="1"/>
    </xf>
    <xf numFmtId="0" fontId="10" fillId="0" borderId="6" xfId="0" applyFont="1" applyBorder="1" applyAlignment="1">
      <alignment vertical="center" wrapText="1"/>
    </xf>
    <xf numFmtId="0" fontId="0" fillId="0" borderId="0" xfId="0" applyFont="1"/>
    <xf numFmtId="0" fontId="8" fillId="0" borderId="4" xfId="0" applyFont="1" applyBorder="1" applyAlignment="1">
      <alignment vertical="center" wrapText="1"/>
    </xf>
    <xf numFmtId="0" fontId="11" fillId="0" borderId="4" xfId="0" applyFont="1" applyBorder="1" applyAlignment="1">
      <alignment vertical="center" wrapText="1"/>
    </xf>
    <xf numFmtId="0" fontId="10" fillId="0" borderId="4" xfId="0" applyFont="1" applyBorder="1" applyAlignment="1">
      <alignment vertical="center" wrapText="1"/>
    </xf>
    <xf numFmtId="0" fontId="10" fillId="0" borderId="0" xfId="0" applyFont="1"/>
    <xf numFmtId="0" fontId="14" fillId="0" borderId="0" xfId="0" applyFont="1"/>
    <xf numFmtId="0" fontId="2" fillId="3" borderId="7" xfId="0" applyFont="1" applyFill="1" applyBorder="1" applyAlignment="1">
      <alignment vertical="center" wrapText="1"/>
    </xf>
    <xf numFmtId="0" fontId="13" fillId="0" borderId="0" xfId="0" applyFont="1"/>
    <xf numFmtId="0" fontId="0" fillId="5" borderId="0" xfId="0" applyFill="1"/>
    <xf numFmtId="0" fontId="13" fillId="0" borderId="8" xfId="0" applyFont="1" applyBorder="1" applyAlignment="1">
      <alignment horizontal="center"/>
    </xf>
    <xf numFmtId="0" fontId="13" fillId="5" borderId="8" xfId="0" applyFont="1" applyFill="1" applyBorder="1" applyAlignment="1">
      <alignment horizontal="center"/>
    </xf>
    <xf numFmtId="0" fontId="12" fillId="0" borderId="0" xfId="0" applyFont="1" applyFill="1" applyBorder="1" applyAlignment="1">
      <alignment vertical="center" wrapText="1"/>
    </xf>
    <xf numFmtId="0" fontId="13" fillId="0" borderId="9" xfId="0" applyFont="1" applyBorder="1" applyAlignment="1">
      <alignment horizontal="center"/>
    </xf>
    <xf numFmtId="0" fontId="0" fillId="0" borderId="8" xfId="0" applyBorder="1"/>
    <xf numFmtId="0" fontId="0" fillId="0" borderId="8" xfId="0" applyBorder="1" applyAlignment="1">
      <alignment horizontal="center"/>
    </xf>
    <xf numFmtId="0" fontId="13" fillId="0" borderId="11" xfId="0" applyFont="1" applyBorder="1" applyAlignment="1">
      <alignment horizontal="center"/>
    </xf>
    <xf numFmtId="0" fontId="13" fillId="0" borderId="0" xfId="0" applyFont="1" applyFill="1" applyBorder="1"/>
    <xf numFmtId="0" fontId="0" fillId="0" borderId="9" xfId="0" applyBorder="1"/>
    <xf numFmtId="0" fontId="13" fillId="0" borderId="12" xfId="0" applyFont="1" applyFill="1" applyBorder="1"/>
    <xf numFmtId="0" fontId="0" fillId="0" borderId="13" xfId="0" applyBorder="1"/>
    <xf numFmtId="0" fontId="0" fillId="0" borderId="14" xfId="0" applyBorder="1"/>
    <xf numFmtId="0" fontId="0" fillId="0" borderId="15" xfId="0" applyBorder="1"/>
    <xf numFmtId="0" fontId="13" fillId="0" borderId="16" xfId="0" applyFont="1" applyBorder="1" applyAlignment="1">
      <alignment horizontal="center"/>
    </xf>
    <xf numFmtId="0" fontId="13" fillId="0" borderId="17" xfId="0" applyFont="1" applyBorder="1" applyAlignment="1">
      <alignment horizontal="center"/>
    </xf>
    <xf numFmtId="0" fontId="13" fillId="0" borderId="8" xfId="0" applyFont="1" applyBorder="1"/>
    <xf numFmtId="0" fontId="13" fillId="0" borderId="18" xfId="0" applyFont="1" applyBorder="1" applyAlignment="1">
      <alignment horizontal="center"/>
    </xf>
    <xf numFmtId="0" fontId="13" fillId="0" borderId="19"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13" fillId="0" borderId="24" xfId="0" applyFont="1" applyBorder="1" applyAlignment="1">
      <alignment horizontal="center"/>
    </xf>
    <xf numFmtId="0" fontId="13" fillId="0" borderId="26" xfId="0" applyFont="1" applyBorder="1" applyAlignment="1">
      <alignment horizontal="center"/>
    </xf>
    <xf numFmtId="0" fontId="13" fillId="0" borderId="27" xfId="0" applyFont="1" applyBorder="1" applyAlignment="1">
      <alignment horizontal="center"/>
    </xf>
    <xf numFmtId="0" fontId="13" fillId="0" borderId="28" xfId="0" applyFont="1" applyBorder="1" applyAlignment="1">
      <alignment horizontal="center"/>
    </xf>
    <xf numFmtId="0" fontId="13" fillId="0" borderId="29" xfId="0" applyFont="1" applyBorder="1" applyAlignment="1">
      <alignment horizontal="center"/>
    </xf>
    <xf numFmtId="0" fontId="13" fillId="0" borderId="30" xfId="0" applyFont="1" applyBorder="1" applyAlignment="1">
      <alignment horizontal="center"/>
    </xf>
    <xf numFmtId="0" fontId="13" fillId="0" borderId="31" xfId="0" applyFont="1" applyBorder="1" applyAlignment="1">
      <alignment horizontal="center"/>
    </xf>
    <xf numFmtId="0" fontId="13" fillId="0" borderId="20" xfId="0" applyFont="1" applyBorder="1" applyAlignment="1">
      <alignment horizontal="center"/>
    </xf>
    <xf numFmtId="0" fontId="13" fillId="0" borderId="23" xfId="0" applyFont="1" applyBorder="1" applyAlignment="1">
      <alignment horizontal="center"/>
    </xf>
    <xf numFmtId="0" fontId="13" fillId="0" borderId="25" xfId="0" applyFont="1" applyBorder="1" applyAlignment="1">
      <alignment horizontal="center"/>
    </xf>
    <xf numFmtId="0" fontId="13" fillId="5" borderId="30" xfId="0" applyFont="1" applyFill="1" applyBorder="1" applyAlignment="1">
      <alignment horizontal="center"/>
    </xf>
    <xf numFmtId="0" fontId="13" fillId="5" borderId="8" xfId="0" applyFont="1" applyFill="1" applyBorder="1"/>
    <xf numFmtId="0" fontId="13" fillId="5" borderId="33" xfId="0" applyFont="1" applyFill="1" applyBorder="1" applyAlignment="1">
      <alignment horizontal="center"/>
    </xf>
    <xf numFmtId="0" fontId="13" fillId="5" borderId="34" xfId="0" applyFont="1" applyFill="1" applyBorder="1" applyAlignment="1">
      <alignment horizontal="center"/>
    </xf>
    <xf numFmtId="0" fontId="13" fillId="0" borderId="0" xfId="0" applyFont="1" applyBorder="1" applyAlignment="1">
      <alignment horizontal="center"/>
    </xf>
    <xf numFmtId="0" fontId="13" fillId="0" borderId="35" xfId="0" applyFont="1" applyBorder="1" applyAlignment="1">
      <alignment horizontal="center"/>
    </xf>
    <xf numFmtId="0" fontId="13" fillId="5" borderId="10" xfId="0" applyFont="1" applyFill="1" applyBorder="1" applyAlignment="1">
      <alignment horizontal="center"/>
    </xf>
    <xf numFmtId="0" fontId="13" fillId="5" borderId="36" xfId="0" applyFont="1" applyFill="1" applyBorder="1" applyAlignment="1">
      <alignment horizontal="center"/>
    </xf>
    <xf numFmtId="0" fontId="13" fillId="0" borderId="12" xfId="0" applyFont="1" applyBorder="1"/>
    <xf numFmtId="0" fontId="10" fillId="0" borderId="0" xfId="0" applyFont="1" applyFill="1" applyBorder="1" applyAlignment="1">
      <alignment horizontal="right" vertical="center" wrapText="1"/>
    </xf>
    <xf numFmtId="0" fontId="10" fillId="0" borderId="1" xfId="0" applyFont="1" applyBorder="1" applyAlignment="1">
      <alignment horizontal="right" vertical="center" wrapText="1"/>
    </xf>
    <xf numFmtId="0" fontId="0" fillId="0" borderId="0" xfId="0" applyFill="1" applyBorder="1" applyAlignment="1">
      <alignment horizontal="right"/>
    </xf>
    <xf numFmtId="0" fontId="10" fillId="0" borderId="0" xfId="0" applyFont="1" applyFill="1" applyBorder="1" applyAlignment="1">
      <alignment vertical="top" wrapText="1"/>
    </xf>
    <xf numFmtId="0" fontId="0" fillId="0" borderId="0" xfId="0" applyFill="1" applyBorder="1" applyAlignment="1">
      <alignment wrapText="1"/>
    </xf>
    <xf numFmtId="1" fontId="0" fillId="0" borderId="0" xfId="0" applyNumberFormat="1" applyFill="1" applyBorder="1" applyAlignment="1">
      <alignment wrapText="1"/>
    </xf>
    <xf numFmtId="0" fontId="0" fillId="0" borderId="0" xfId="0" applyBorder="1" applyAlignment="1">
      <alignment wrapText="1"/>
    </xf>
    <xf numFmtId="0" fontId="10" fillId="0" borderId="0" xfId="0" applyFont="1" applyFill="1" applyBorder="1" applyAlignment="1">
      <alignment horizontal="left" vertical="top" wrapText="1"/>
    </xf>
    <xf numFmtId="0" fontId="5" fillId="0" borderId="0" xfId="0" applyFont="1" applyFill="1" applyBorder="1" applyAlignment="1">
      <alignment vertical="top" wrapText="1"/>
    </xf>
    <xf numFmtId="0" fontId="0" fillId="0" borderId="0" xfId="0" applyFont="1" applyBorder="1" applyAlignment="1">
      <alignment vertical="top" wrapText="1"/>
    </xf>
    <xf numFmtId="0" fontId="0" fillId="0" borderId="0" xfId="0" applyBorder="1" applyAlignment="1">
      <alignment vertical="top" wrapText="1"/>
    </xf>
    <xf numFmtId="0" fontId="10" fillId="0" borderId="0" xfId="0" applyFont="1" applyBorder="1" applyAlignment="1">
      <alignment vertical="top" wrapText="1"/>
    </xf>
    <xf numFmtId="0" fontId="2" fillId="0" borderId="4" xfId="0" applyFont="1" applyFill="1" applyBorder="1" applyAlignment="1">
      <alignment horizontal="center" vertical="center" wrapText="1"/>
    </xf>
    <xf numFmtId="0" fontId="10" fillId="0" borderId="0" xfId="0" applyFont="1" applyFill="1" applyBorder="1" applyAlignment="1">
      <alignment wrapText="1"/>
    </xf>
    <xf numFmtId="0" fontId="3" fillId="0" borderId="0" xfId="0" applyFont="1" applyFill="1" applyBorder="1" applyAlignment="1">
      <alignment wrapText="1"/>
    </xf>
    <xf numFmtId="1" fontId="3" fillId="0" borderId="0" xfId="0" applyNumberFormat="1" applyFont="1" applyFill="1" applyBorder="1" applyAlignment="1">
      <alignment wrapText="1"/>
    </xf>
    <xf numFmtId="0" fontId="8" fillId="0" borderId="0" xfId="0" applyFont="1" applyBorder="1" applyAlignment="1">
      <alignment wrapText="1"/>
    </xf>
    <xf numFmtId="49" fontId="0" fillId="0" borderId="0" xfId="0" applyNumberFormat="1" applyAlignment="1">
      <alignment horizontal="right"/>
    </xf>
    <xf numFmtId="49" fontId="8" fillId="0" borderId="4" xfId="0" applyNumberFormat="1" applyFont="1" applyBorder="1" applyAlignment="1">
      <alignment horizontal="right" vertical="center" wrapText="1"/>
    </xf>
    <xf numFmtId="49" fontId="8" fillId="0" borderId="1" xfId="0" applyNumberFormat="1" applyFont="1" applyBorder="1" applyAlignment="1">
      <alignment horizontal="right" vertical="center" wrapText="1"/>
    </xf>
    <xf numFmtId="49" fontId="8" fillId="0" borderId="3" xfId="0" applyNumberFormat="1" applyFont="1" applyBorder="1" applyAlignment="1">
      <alignment horizontal="right" vertical="center" wrapText="1"/>
    </xf>
    <xf numFmtId="49" fontId="2" fillId="3" borderId="4" xfId="0" applyNumberFormat="1" applyFont="1" applyFill="1" applyBorder="1" applyAlignment="1">
      <alignment horizontal="center" vertical="center" wrapText="1"/>
    </xf>
    <xf numFmtId="0" fontId="10" fillId="0" borderId="4" xfId="0" applyFont="1" applyBorder="1" applyAlignment="1">
      <alignment horizontal="right" vertical="center" wrapText="1"/>
    </xf>
    <xf numFmtId="0" fontId="10" fillId="0" borderId="3" xfId="0" applyFont="1" applyBorder="1" applyAlignment="1">
      <alignment horizontal="right" vertical="center" wrapText="1"/>
    </xf>
    <xf numFmtId="0" fontId="10" fillId="0" borderId="0" xfId="0" applyFont="1" applyAlignment="1">
      <alignment horizontal="right"/>
    </xf>
    <xf numFmtId="0" fontId="14" fillId="0" borderId="0" xfId="0" applyFont="1" applyAlignment="1">
      <alignment horizontal="right"/>
    </xf>
    <xf numFmtId="0" fontId="0" fillId="0" borderId="0" xfId="0" applyFill="1" applyAlignment="1">
      <alignment horizontal="right"/>
    </xf>
    <xf numFmtId="0" fontId="0" fillId="0" borderId="0" xfId="0" applyFill="1" applyBorder="1" applyAlignment="1">
      <alignment horizontal="right" wrapText="1"/>
    </xf>
    <xf numFmtId="10" fontId="0" fillId="0" borderId="0" xfId="1" applyNumberFormat="1" applyFont="1" applyFill="1" applyBorder="1" applyAlignment="1">
      <alignment wrapText="1"/>
    </xf>
    <xf numFmtId="1" fontId="0" fillId="0" borderId="0" xfId="1" applyNumberFormat="1" applyFont="1" applyFill="1" applyBorder="1" applyAlignment="1">
      <alignment wrapText="1"/>
    </xf>
    <xf numFmtId="1" fontId="3" fillId="0" borderId="0" xfId="1" applyNumberFormat="1" applyFont="1" applyFill="1" applyBorder="1" applyAlignment="1">
      <alignment wrapText="1"/>
    </xf>
    <xf numFmtId="10" fontId="3" fillId="0" borderId="0" xfId="1" applyNumberFormat="1" applyFont="1" applyFill="1" applyBorder="1" applyAlignment="1">
      <alignment wrapText="1"/>
    </xf>
    <xf numFmtId="10" fontId="10" fillId="0" borderId="0" xfId="1" applyNumberFormat="1" applyFont="1" applyFill="1" applyBorder="1" applyAlignment="1">
      <alignment wrapText="1"/>
    </xf>
    <xf numFmtId="0" fontId="0" fillId="0" borderId="0" xfId="0" applyAlignment="1">
      <alignment wrapText="1"/>
    </xf>
    <xf numFmtId="1" fontId="0" fillId="0" borderId="0" xfId="0" applyNumberFormat="1" applyBorder="1" applyAlignment="1">
      <alignment wrapText="1"/>
    </xf>
    <xf numFmtId="0" fontId="13" fillId="0" borderId="20" xfId="0" applyFont="1" applyBorder="1" applyAlignment="1">
      <alignment horizontal="center"/>
    </xf>
    <xf numFmtId="0" fontId="13" fillId="0" borderId="23" xfId="0" applyFont="1" applyBorder="1" applyAlignment="1">
      <alignment horizontal="center"/>
    </xf>
    <xf numFmtId="0" fontId="13" fillId="0" borderId="32" xfId="0" applyFont="1" applyBorder="1" applyAlignment="1">
      <alignment horizontal="center"/>
    </xf>
    <xf numFmtId="0" fontId="13" fillId="0" borderId="25"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3" fillId="0" borderId="14" xfId="0" applyFont="1" applyBorder="1" applyAlignment="1">
      <alignment horizontal="center"/>
    </xf>
    <xf numFmtId="0" fontId="0" fillId="0" borderId="0" xfId="0" applyAlignment="1">
      <alignment horizontal="center"/>
    </xf>
    <xf numFmtId="0" fontId="13" fillId="0" borderId="10" xfId="0" applyFont="1" applyBorder="1" applyAlignment="1">
      <alignment horizontal="center"/>
    </xf>
    <xf numFmtId="0" fontId="2" fillId="0" borderId="0" xfId="0" applyFont="1" applyFill="1" applyBorder="1" applyAlignment="1">
      <alignment vertical="center"/>
    </xf>
    <xf numFmtId="0" fontId="2" fillId="0" borderId="4" xfId="0" applyFont="1" applyFill="1" applyBorder="1" applyAlignment="1">
      <alignment vertical="center"/>
    </xf>
    <xf numFmtId="0" fontId="2" fillId="0" borderId="4" xfId="0" applyFont="1" applyFill="1" applyBorder="1" applyAlignment="1">
      <alignment horizontal="center" vertical="center"/>
    </xf>
    <xf numFmtId="0" fontId="12" fillId="0" borderId="0" xfId="0" applyFont="1" applyFill="1" applyBorder="1" applyAlignment="1">
      <alignment horizontal="center" vertical="center"/>
    </xf>
    <xf numFmtId="0" fontId="10" fillId="0" borderId="0" xfId="0" applyFont="1" applyFill="1" applyBorder="1" applyAlignment="1">
      <alignment vertical="center"/>
    </xf>
    <xf numFmtId="0" fontId="10" fillId="0" borderId="0" xfId="0" applyFont="1" applyFill="1" applyBorder="1" applyAlignment="1">
      <alignment horizontal="right" vertical="center"/>
    </xf>
    <xf numFmtId="0" fontId="8" fillId="0" borderId="0" xfId="0" applyFont="1" applyFill="1" applyBorder="1" applyAlignment="1">
      <alignment vertical="center"/>
    </xf>
    <xf numFmtId="0" fontId="12" fillId="0" borderId="0" xfId="0" applyFont="1" applyFill="1" applyBorder="1" applyAlignment="1">
      <alignment vertical="center"/>
    </xf>
    <xf numFmtId="0" fontId="0" fillId="0" borderId="0" xfId="0" applyAlignment="1"/>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xf>
    <xf numFmtId="0" fontId="10" fillId="0" borderId="1" xfId="0" applyFont="1" applyFill="1" applyBorder="1" applyAlignment="1">
      <alignment vertical="center"/>
    </xf>
    <xf numFmtId="0" fontId="10" fillId="0" borderId="3" xfId="0" applyFont="1" applyFill="1" applyBorder="1" applyAlignment="1">
      <alignment vertical="center"/>
    </xf>
    <xf numFmtId="0" fontId="10" fillId="0" borderId="4" xfId="0" applyFont="1" applyFill="1" applyBorder="1" applyAlignment="1">
      <alignment vertical="center"/>
    </xf>
    <xf numFmtId="49" fontId="10" fillId="0" borderId="4" xfId="0" applyNumberFormat="1" applyFont="1" applyFill="1" applyBorder="1" applyAlignment="1">
      <alignment horizontal="right" vertical="center"/>
    </xf>
    <xf numFmtId="49" fontId="10" fillId="0" borderId="1" xfId="0" applyNumberFormat="1" applyFont="1" applyFill="1" applyBorder="1" applyAlignment="1">
      <alignment horizontal="right" vertical="center"/>
    </xf>
    <xf numFmtId="49" fontId="10" fillId="0" borderId="3" xfId="0" applyNumberFormat="1" applyFont="1" applyFill="1" applyBorder="1" applyAlignment="1">
      <alignment horizontal="right" vertical="center"/>
    </xf>
    <xf numFmtId="0" fontId="10" fillId="0" borderId="0" xfId="0" applyFont="1" applyFill="1" applyAlignment="1">
      <alignment vertical="center"/>
    </xf>
    <xf numFmtId="0" fontId="10" fillId="0" borderId="6" xfId="0" applyFont="1" applyFill="1" applyBorder="1" applyAlignment="1">
      <alignment vertical="center"/>
    </xf>
    <xf numFmtId="0" fontId="10" fillId="0" borderId="0" xfId="0" applyFont="1" applyFill="1" applyAlignment="1">
      <alignment horizontal="right" vertical="center"/>
    </xf>
    <xf numFmtId="0" fontId="10" fillId="0" borderId="2" xfId="0" applyFont="1" applyFill="1" applyBorder="1" applyAlignment="1">
      <alignment vertical="center"/>
    </xf>
    <xf numFmtId="0" fontId="10" fillId="0" borderId="4" xfId="0" applyFont="1" applyFill="1" applyBorder="1" applyAlignment="1">
      <alignment horizontal="right" vertical="center"/>
    </xf>
    <xf numFmtId="0" fontId="10" fillId="0" borderId="1" xfId="0" applyFont="1" applyFill="1" applyBorder="1" applyAlignment="1">
      <alignment horizontal="right" vertical="center"/>
    </xf>
    <xf numFmtId="0" fontId="10" fillId="0" borderId="3" xfId="0" applyFont="1" applyFill="1" applyBorder="1" applyAlignment="1">
      <alignment horizontal="right" vertical="center"/>
    </xf>
  </cellXfs>
  <cellStyles count="2">
    <cellStyle name="Normal" xfId="0" builtinId="0"/>
    <cellStyle name="Porcentagem" xfId="1" builtinId="5"/>
  </cellStyles>
  <dxfs count="143">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0"/>
        <color auto="1"/>
        <name val="Tahoma"/>
        <family val="2"/>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none"/>
      </font>
      <alignment horizontal="right" vertical="bottom" textRotation="0" wrapText="0" indent="0" justifyLastLine="0" shrinkToFit="0" readingOrder="0"/>
    </dxf>
    <dxf>
      <font>
        <strike val="0"/>
        <outline val="0"/>
        <shadow val="0"/>
        <u val="none"/>
        <vertAlign val="baseline"/>
        <sz val="11"/>
        <color auto="1"/>
        <name val="Calibri"/>
        <family val="2"/>
        <scheme val="none"/>
      </font>
    </dxf>
    <dxf>
      <font>
        <strike val="0"/>
        <outline val="0"/>
        <shadow val="0"/>
        <u val="none"/>
        <vertAlign val="baseline"/>
        <sz val="11"/>
        <color auto="1"/>
        <name val="Calibri"/>
        <family val="2"/>
        <scheme val="none"/>
      </font>
    </dxf>
    <dxf>
      <font>
        <strike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rgb="FF8EA9DB"/>
        </top>
      </border>
    </dxf>
    <dxf>
      <border outline="0">
        <left style="thin">
          <color rgb="FF8EA9DB"/>
        </left>
        <top style="thin">
          <color rgb="FF8EA9DB"/>
        </top>
        <bottom style="thin">
          <color rgb="FF8EA9DB"/>
        </bottom>
      </border>
    </dxf>
    <dxf>
      <font>
        <strike val="0"/>
        <outline val="0"/>
        <shadow val="0"/>
        <u val="none"/>
        <vertAlign val="baseline"/>
        <sz val="11"/>
        <color auto="1"/>
        <name val="Calibri"/>
        <family val="2"/>
        <scheme val="none"/>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right" vertical="bottom"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strike val="0"/>
        <outline val="0"/>
        <shadow val="0"/>
        <u val="none"/>
        <vertAlign val="baseline"/>
        <sz val="11"/>
        <color auto="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right"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auto="1"/>
        <name val="Tahoma"/>
        <family val="2"/>
        <scheme val="none"/>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strike val="0"/>
        <outline val="0"/>
        <shadow val="0"/>
        <u val="none"/>
        <vertAlign val="baseline"/>
        <sz val="1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Tahoma"/>
        <family val="2"/>
        <scheme val="none"/>
      </font>
      <numFmt numFmtId="30" formatCode="@"/>
      <alignment horizontal="right"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auto="1"/>
        <name val="Tahoma"/>
        <family val="2"/>
        <scheme val="none"/>
      </font>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auto="1"/>
        <name val="Tahoma"/>
        <family val="2"/>
        <scheme val="none"/>
      </font>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center" textRotation="0" wrapText="1" indent="0" justifyLastLine="0" shrinkToFit="0" readingOrder="0"/>
    </dxf>
    <dxf>
      <numFmt numFmtId="0" formatCode="General"/>
      <fill>
        <patternFill patternType="none">
          <fgColor indexed="64"/>
          <bgColor auto="1"/>
        </patternFill>
      </fill>
      <alignment horizontal="right" vertical="bottom" textRotation="0" wrapText="1" indent="0" justifyLastLine="0" shrinkToFit="0" readingOrder="0"/>
    </dxf>
    <dxf>
      <numFmt numFmtId="1" formatCode="0"/>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alignment textRotation="0" wrapText="1" indent="0" justifyLastLine="0" shrinkToFit="0" readingOrder="0"/>
    </dxf>
    <dxf>
      <numFmt numFmtId="1" formatCode="0"/>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Tahom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Tahoma"/>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Tahom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Tahoma"/>
        <family val="2"/>
        <scheme val="none"/>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Tahoma"/>
        <family val="2"/>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Tahoma"/>
        <family val="2"/>
        <scheme val="none"/>
      </font>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1"/>
        <color rgb="FFFFFFFF"/>
        <name val="Trebuchet MS"/>
        <family val="2"/>
        <scheme val="none"/>
      </font>
      <fill>
        <patternFill patternType="none">
          <fgColor indexed="64"/>
          <bgColor auto="1"/>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98EDA9-EF4C-47AA-AEF8-D1327F116F7F}" name="consolidado" displayName="consolidado" ref="A1:L539" totalsRowShown="0" headerRowDxfId="142" dataDxfId="141">
  <autoFilter ref="A1:L539" xr:uid="{D204B21C-186D-47FA-B7EF-ADDD5A2C5874}"/>
  <tableColumns count="12">
    <tableColumn id="9" xr3:uid="{57069445-3C5B-4B7F-A175-2D05B5E927CA}" name="Caderno" dataDxfId="140"/>
    <tableColumn id="1" xr3:uid="{63C332C4-7052-4C65-B8A4-525F882AF9D6}" name="Eixos" dataDxfId="139"/>
    <tableColumn id="2" xr3:uid="{584830E4-7242-4C95-A104-7CC31DBFA840}" name="Tópicos" dataDxfId="138"/>
    <tableColumn id="3" xr3:uid="{162A70E1-EA00-4F8C-BDDE-B60666FFF564}" name="Códigos" dataDxfId="137"/>
    <tableColumn id="10" xr3:uid="{0D06A58A-0441-43A8-8B9B-52B8BD0CAFFE}" name="codigo_ajustado" dataDxfId="136">
      <calculatedColumnFormula>SUBSTITUTE(D2," ","")</calculatedColumnFormula>
    </tableColumn>
    <tableColumn id="4" xr3:uid="{E3DE7AE1-D913-4BD8-9A86-A244C5E9E91C}" name="Indicadores" dataDxfId="135"/>
    <tableColumn id="7" xr3:uid="{4D3ACCD0-F16A-4131-A7D0-D24B54DC3750}" name="Descrição" dataDxfId="134"/>
    <tableColumn id="5" xr3:uid="{1A158CC0-2D49-42F6-ADB7-00F1325D040C}" name="Classificação" dataDxfId="133"/>
    <tableColumn id="6" xr3:uid="{914E06D2-20FA-4697-97C1-89EEBFC570D8}" name="Pontuação" dataDxfId="132"/>
    <tableColumn id="8" xr3:uid="{B33B905B-A757-4512-970C-CF542CD9AF77}" name="Observações" dataDxfId="131"/>
    <tableColumn id="12" xr3:uid="{B76B44A4-90BF-4115-BA04-D8C48BD583C3}" name="Obrigatório" dataDxfId="130">
      <calculatedColumnFormula>IF(consolidado[[#This Row],[Observações]]="","Não","Sim")</calculatedColumnFormula>
    </tableColumn>
    <tableColumn id="11" xr3:uid="{969C86C2-C111-4FB1-813E-DAF5845FF223}" name="ODS" dataDxfId="1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035A04-DB29-4F89-A958-915EBA393246}" name="geral" displayName="geral" ref="A1:J140" totalsRowShown="0" headerRowDxfId="3" dataDxfId="2" headerRowBorderDxfId="13" tableBorderDxfId="14" totalsRowBorderDxfId="12">
  <autoFilter ref="A1:J140" xr:uid="{68964FAC-B174-4DDC-AFCF-0895790D6E9B}"/>
  <tableColumns count="10">
    <tableColumn id="9" xr3:uid="{95467EF3-753A-4B5E-A01E-FCFF1D239E1B}" name="Caderno" dataDxfId="0"/>
    <tableColumn id="1" xr3:uid="{A61788D6-6F2D-4923-BC1C-EFB37C80E39C}" name="Eixos" dataDxfId="11"/>
    <tableColumn id="2" xr3:uid="{C193A011-6959-413B-B386-9D7E7A619A46}" name="Tópicos" dataDxfId="10"/>
    <tableColumn id="3" xr3:uid="{4D63B61C-59CE-4CAA-B3A0-A2A17BC69EDB}" name="Códigos" dataDxfId="9"/>
    <tableColumn id="7" xr3:uid="{ED49114D-0827-40D7-9BC9-6FB390FC02AD}" name="codigo_ajustado" dataDxfId="1">
      <calculatedColumnFormula>SUBSTITUTE(D2," ","")</calculatedColumnFormula>
    </tableColumn>
    <tableColumn id="4" xr3:uid="{B8EC2680-460E-4E18-8DD3-F1AD77CC6063}" name="Indicadores" dataDxfId="8"/>
    <tableColumn id="6" xr3:uid="{0FD9F5DA-4E32-4F45-83F6-C6F7E4204246}" name="Obrigatório" dataDxfId="7"/>
    <tableColumn id="8" xr3:uid="{28759124-B366-4A66-B104-6915D9BA3ABB}" name="Máximo" dataDxfId="6"/>
    <tableColumn id="10" xr3:uid="{95A8EDC8-1CB8-4138-8433-7170FF1D5BD1}" name="Coluna1" dataDxfId="5"/>
    <tableColumn id="5" xr3:uid="{97F0ACAC-505B-45AA-A2F7-DDE0372A576E}" name="ODS"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A1EF26-8759-444A-86D5-44C62E6682DF}" name="Tabela2" displayName="Tabela2" ref="B2:I61" totalsRowShown="0" headerRowDxfId="128" dataDxfId="126" headerRowBorderDxfId="127" tableBorderDxfId="125" totalsRowBorderDxfId="124">
  <autoFilter ref="B2:I61" xr:uid="{0A7F022F-6247-41FB-A1E4-F6B72465EFF7}"/>
  <tableColumns count="8">
    <tableColumn id="1" xr3:uid="{BD0DC907-D66C-42DE-A7B1-FA30BFCA66E2}" name="Eixos" dataDxfId="123"/>
    <tableColumn id="2" xr3:uid="{A601275A-EA91-429A-AB1B-C7DADF29D7F3}" name="Tópicos" dataDxfId="122"/>
    <tableColumn id="3" xr3:uid="{86E6A737-606F-48AB-AF8A-CBEBC91E282C}" name="Códigos" dataDxfId="121"/>
    <tableColumn id="4" xr3:uid="{063E4CDB-2339-4FEA-909D-AABDE4DA4362}" name="Indicadores" dataDxfId="120"/>
    <tableColumn id="6" xr3:uid="{B2287E02-CCF3-4641-82CF-7619D131FBCA}" name="Obrigatório" dataDxfId="119"/>
    <tableColumn id="8" xr3:uid="{C2B731DA-7261-4FC0-B9A7-B3C19ECB1E8B}" name="Máximo" dataDxfId="118"/>
    <tableColumn id="10" xr3:uid="{9E4B06F6-7A73-4B57-9C17-E99CB1C9B2AB}" name="Coluna1" dataDxfId="117"/>
    <tableColumn id="5" xr3:uid="{062CFC1A-384D-4431-96A3-2034A9EB91A4}" name="ODS" dataDxfId="1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9E3545-3B84-4147-9C8C-CB95686B3187}" name="Tabela9" displayName="Tabela9" ref="B2:I12" totalsRowShown="0" headerRowDxfId="115" dataDxfId="113" headerRowBorderDxfId="114" tableBorderDxfId="112" totalsRowBorderDxfId="111">
  <autoFilter ref="B2:I12" xr:uid="{1F5F1EBC-577D-4BFA-87F9-D43AE12CD920}"/>
  <tableColumns count="8">
    <tableColumn id="1" xr3:uid="{881077E5-8EC5-4AF2-B8EE-2295348793F9}" name="Eixos" dataDxfId="110"/>
    <tableColumn id="2" xr3:uid="{040BFD98-36FA-42AA-B273-53482E3B2904}" name="Tópicos" dataDxfId="109"/>
    <tableColumn id="3" xr3:uid="{0673D23F-7737-46AF-8DF3-A47EAA33C432}" name="Códigos" dataDxfId="108"/>
    <tableColumn id="4" xr3:uid="{636439DA-46B5-47BA-83D4-8B0980449D22}" name="Indicadores" dataDxfId="107"/>
    <tableColumn id="5" xr3:uid="{E791EE43-060D-4E37-9BFA-A879C50B5C6D}" name="Obrigatorio " dataDxfId="106"/>
    <tableColumn id="6" xr3:uid="{994A8241-B71E-43E8-A0EE-B674769A66B6}" name="Máximo" dataDxfId="105"/>
    <tableColumn id="7" xr3:uid="{6F0797A0-FC08-4FCA-A915-C4509E024578}" name="Coluna1" dataDxfId="104"/>
    <tableColumn id="8" xr3:uid="{358A3291-3BF7-4FB7-91F3-5AFCB8CD748E}" name="ODS" dataDxfId="10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254882E-F3D0-4C63-A31D-B45F438A7688}" name="Tabela51013" displayName="Tabela51013" ref="B2:I12" totalsRowShown="0" headerRowDxfId="102" dataDxfId="100" headerRowBorderDxfId="101" tableBorderDxfId="99" totalsRowBorderDxfId="98">
  <autoFilter ref="B2:I12" xr:uid="{2FE96597-3E50-40A3-9645-EFC244E71E91}"/>
  <tableColumns count="8">
    <tableColumn id="1" xr3:uid="{9FA9434D-500B-4574-B224-D68FA0F3829E}" name="Eixos" dataDxfId="97"/>
    <tableColumn id="2" xr3:uid="{23B53722-F9DC-44DE-813C-66BD461837B3}" name="Tópicos" dataDxfId="96"/>
    <tableColumn id="3" xr3:uid="{F5EEFA50-ECB6-4E36-9A79-AE93920B5BB8}" name="Códigos" dataDxfId="95"/>
    <tableColumn id="4" xr3:uid="{C14737ED-6163-45F1-BF1C-9E46774BD17E}" name="Indicadores" dataDxfId="94"/>
    <tableColumn id="5" xr3:uid="{31AD444F-0F4E-43C6-A8F7-5B565A1BB76F}" name="obrigatorio" dataDxfId="93"/>
    <tableColumn id="6" xr3:uid="{ADE98BA0-AB56-429C-9796-FE00931784D1}" name="maximo" dataDxfId="92"/>
    <tableColumn id="7" xr3:uid="{A4402D9F-045E-4F7C-B83F-B28BC798A269}" name="Coluna1" dataDxfId="91"/>
    <tableColumn id="8" xr3:uid="{BF309191-7856-424F-AE81-AE88B0ED43F7}" name="ODS" dataDxfId="9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7EBD7D-6844-4C8D-91AD-4DB304C944C8}" name="Tabela8" displayName="Tabela8" ref="B2:I12" totalsRowShown="0" headerRowDxfId="89" dataDxfId="87" headerRowBorderDxfId="88" tableBorderDxfId="86" totalsRowBorderDxfId="85">
  <autoFilter ref="B2:I12" xr:uid="{37995E47-5BB9-453F-9232-03DC88288983}"/>
  <tableColumns count="8">
    <tableColumn id="1" xr3:uid="{B3AED4ED-C8F6-4501-8219-A65946357FD2}" name="Eixos" dataDxfId="84"/>
    <tableColumn id="2" xr3:uid="{42B84101-5F89-43A3-AB4E-B2C3F1EACF6C}" name="Tópicos" dataDxfId="83"/>
    <tableColumn id="3" xr3:uid="{FF474784-D875-44CC-AE81-15259A92B1B6}" name="Códigos" dataDxfId="82"/>
    <tableColumn id="4" xr3:uid="{43747E6A-EC8E-49C1-BD90-D06ABB9CC54B}" name="Indicadores" dataDxfId="81"/>
    <tableColumn id="5" xr3:uid="{D214A782-F343-4095-907F-BD4ABED70F3A}" name="obrigatorio " dataDxfId="80"/>
    <tableColumn id="6" xr3:uid="{EFC1DC15-163B-4E4C-A1DC-4786E7076E5B}" name="Coluna1" dataDxfId="79"/>
    <tableColumn id="7" xr3:uid="{95878B8A-0B7C-4AD7-843F-2CB89E4BCB89}" name="Coluna2" dataDxfId="78"/>
    <tableColumn id="8" xr3:uid="{45E53BC7-E8B3-499B-B846-31CEB990A721}" name="ODS" dataDxfId="7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8A7CCC-F2C7-4BD7-BE45-5D9F4E68145E}" name="Tabela7" displayName="Tabela7" ref="B2:I12" totalsRowShown="0" headerRowDxfId="76" dataDxfId="74" headerRowBorderDxfId="75" tableBorderDxfId="73" totalsRowBorderDxfId="72">
  <autoFilter ref="B2:I12" xr:uid="{D9FBC059-00CC-4B04-BA3E-DEBEACFA0654}"/>
  <tableColumns count="8">
    <tableColumn id="1" xr3:uid="{22F7CAA2-820B-4622-B129-B98AE62C1362}" name="Eixos" dataDxfId="71"/>
    <tableColumn id="2" xr3:uid="{0009C005-4CD4-4673-93CF-BAB99DEF8D00}" name="Tópicos" dataDxfId="70"/>
    <tableColumn id="3" xr3:uid="{2864B62F-11BD-4A5B-92C0-CC2E42C1B9A5}" name="Códigos" dataDxfId="69"/>
    <tableColumn id="4" xr3:uid="{02D7A518-66CD-444A-9CB2-B095E956444C}" name="Indicadores" dataDxfId="68"/>
    <tableColumn id="5" xr3:uid="{AEE45CEF-C6CB-405A-A536-C0314A2F6C2F}" name="obrigatorio " dataDxfId="67"/>
    <tableColumn id="6" xr3:uid="{0D1D5123-D3C6-4A24-88D7-17D3328748DD}" name="Coluna1" dataDxfId="66"/>
    <tableColumn id="7" xr3:uid="{C7E31854-C454-4D70-8189-A59E83891872}" name="Coluna2" dataDxfId="65"/>
    <tableColumn id="8" xr3:uid="{90A634B6-D859-4165-A71A-DCEB17A9B3B1}" name="ODS" dataDxfId="6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9AF7AA-BFA4-4BB0-A1EB-646BCF09EAEA}" name="Tabela6" displayName="Tabela6" ref="B2:I12" totalsRowShown="0" headerRowDxfId="63" dataDxfId="61" headerRowBorderDxfId="62" tableBorderDxfId="60" totalsRowBorderDxfId="59">
  <autoFilter ref="B2:I12" xr:uid="{6B1B7C27-307E-4419-B73D-9F9076C1F709}"/>
  <tableColumns count="8">
    <tableColumn id="1" xr3:uid="{96C0A221-99CF-418E-AF0D-0BABA4329792}" name="Eixos" dataDxfId="58"/>
    <tableColumn id="2" xr3:uid="{55ABEAA8-373E-4A4B-A4AF-43DB4129C9DA}" name="Tópicos" dataDxfId="57"/>
    <tableColumn id="3" xr3:uid="{C2BC4A53-4B11-4983-8312-F70D51F17273}" name="Códigos" dataDxfId="56"/>
    <tableColumn id="4" xr3:uid="{30E72C1D-D2CE-4AAE-84C0-CF905778FE52}" name="Indicadores" dataDxfId="55"/>
    <tableColumn id="5" xr3:uid="{14D92AD9-04EE-47B9-8611-4B96D90DBEF5}" name="obrigatorio" dataDxfId="54"/>
    <tableColumn id="6" xr3:uid="{692E21F3-2B37-4B3F-AB8E-5F067DC19D54}" name="Coluna1" dataDxfId="53"/>
    <tableColumn id="7" xr3:uid="{6D2A7AD8-C107-4F7B-B57D-987360A21182}" name="Coluna2" dataDxfId="52"/>
    <tableColumn id="8" xr3:uid="{2506D288-6A00-4F47-A085-2FECF710FF86}" name="ODS" dataDxfId="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559C73-EA64-4E7D-9CA5-0EC147FA0CD0}" name="Tabela5" displayName="Tabela5" ref="B2:I12" totalsRowShown="0" headerRowDxfId="50" dataDxfId="48" headerRowBorderDxfId="49" tableBorderDxfId="47" totalsRowBorderDxfId="46">
  <autoFilter ref="B2:I12" xr:uid="{3B802B2E-FE64-44F7-A4A1-22D7DCF187CE}"/>
  <tableColumns count="8">
    <tableColumn id="1" xr3:uid="{9F113A5F-CE0B-4940-BC87-F240F6985A71}" name="Eixos" dataDxfId="45"/>
    <tableColumn id="2" xr3:uid="{2067D988-9639-4AFE-B8AB-3D996B5354EC}" name="Tópicos" dataDxfId="44"/>
    <tableColumn id="3" xr3:uid="{B84CF6CC-B958-45FA-88AE-6885CB403EB6}" name="Códigos" dataDxfId="43"/>
    <tableColumn id="4" xr3:uid="{DFF6CA38-1891-4A4A-83CF-D509313DF971}" name="Indicadores" dataDxfId="42"/>
    <tableColumn id="5" xr3:uid="{9F8155C6-105B-4D08-90D6-26B23EC2F1AB}" name="obrigatorio " dataDxfId="41"/>
    <tableColumn id="6" xr3:uid="{A64A281D-70A9-4293-9102-ED2E3D32F0B1}" name="Coluna1" dataDxfId="40"/>
    <tableColumn id="7" xr3:uid="{2A252923-8975-41FD-AAE6-7E0B1253F6EA}" name="Coluna2" dataDxfId="39"/>
    <tableColumn id="8" xr3:uid="{68A11351-C653-426A-83FF-536DB8D7B09B}" name="ODS" dataDxfId="3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B5E0B2-ABD9-4097-9420-DA611D71546C}" name="Tabela51011" displayName="Tabela51011" ref="B2:I12" totalsRowShown="0" headerRowDxfId="37" dataDxfId="35" headerRowBorderDxfId="36" tableBorderDxfId="34" totalsRowBorderDxfId="33">
  <autoFilter ref="B2:I12" xr:uid="{722A4C90-A33C-4877-854F-E8E8629B9EED}"/>
  <tableColumns count="8">
    <tableColumn id="1" xr3:uid="{C9EC13BA-1AA7-42C8-B39D-098ECB2E1B42}" name="Eixos" dataDxfId="32"/>
    <tableColumn id="2" xr3:uid="{FB768CAF-A51F-407F-AEA8-C64A8DEECD00}" name="Tópicos" dataDxfId="31"/>
    <tableColumn id="3" xr3:uid="{32C84961-B53E-4653-91E3-3190049B1CA2}" name="Códigos" dataDxfId="30"/>
    <tableColumn id="4" xr3:uid="{01F53C34-94E2-4E9D-9236-1B0DC0176D72}" name="Indicadores" dataDxfId="29"/>
    <tableColumn id="5" xr3:uid="{43A15138-1184-4B94-98FA-177F6D2EAC1B}" name="obrigatorio" dataDxfId="28"/>
    <tableColumn id="6" xr3:uid="{B79875A0-2946-4046-B8EF-8D2759FA995F}" name="Coluna1" dataDxfId="27"/>
    <tableColumn id="7" xr3:uid="{D014B5ED-AB7F-4C32-8A24-4731ACBCFB29}" name="Coluna2" dataDxfId="26"/>
    <tableColumn id="8" xr3:uid="{FA4224A0-B5FC-44E4-9AAD-891D2041DDA9}" name="ODS" dataDxfId="2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289582-8BDB-47E7-BFFB-4FA0F4FA0DCB}" name="Tabela4" displayName="Tabela4" ref="B2:I12" totalsRowShown="0" headerRowDxfId="24" dataDxfId="23">
  <autoFilter ref="B2:I12" xr:uid="{A85B194E-32EB-4684-B421-E36A0F949F2E}"/>
  <tableColumns count="8">
    <tableColumn id="1" xr3:uid="{01E50A49-B1A1-4D95-B3AC-96D1D50AF2F2}" name="Eixos" dataDxfId="22"/>
    <tableColumn id="2" xr3:uid="{E6A62818-B742-456F-856A-79A4663754F1}" name="Tópicos" dataDxfId="21"/>
    <tableColumn id="3" xr3:uid="{45B95E0B-4EB7-43C3-B2C2-5091F3C97332}" name="Códigos" dataDxfId="20"/>
    <tableColumn id="4" xr3:uid="{E77A0594-404E-48A1-877A-DBB9490B857D}" name="Indicadores" dataDxfId="19"/>
    <tableColumn id="6" xr3:uid="{4047E59E-6FF7-4D81-83A9-060398A01C07}" name="obrigatorio" dataDxfId="18"/>
    <tableColumn id="7" xr3:uid="{F96EF24F-703B-40B7-8B16-9F23E1903428}" name="Coluna1" dataDxfId="17"/>
    <tableColumn id="8" xr3:uid="{D4AEEE94-70BA-420A-9235-1294BDF17BD5}" name="Coluna2" dataDxfId="16"/>
    <tableColumn id="9" xr3:uid="{77554AAA-BCA2-4C70-96B8-9B04A81F34D9}" name="ODS" dataDxfId="15"/>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8069-7B89-4899-9B04-1B893D778D22}">
  <dimension ref="A1:L539"/>
  <sheetViews>
    <sheetView zoomScale="80" zoomScaleNormal="80" workbookViewId="0">
      <selection activeCell="K11" sqref="K11"/>
    </sheetView>
  </sheetViews>
  <sheetFormatPr defaultColWidth="8.88671875" defaultRowHeight="14.4" x14ac:dyDescent="0.3"/>
  <cols>
    <col min="1" max="1" width="12.109375" style="125" bestFit="1" customWidth="1"/>
    <col min="2" max="2" width="23.44140625" style="108" customWidth="1"/>
    <col min="3" max="3" width="22.21875" style="108" customWidth="1"/>
    <col min="4" max="4" width="11.6640625" style="108" bestFit="1" customWidth="1"/>
    <col min="5" max="5" width="11.6640625" style="108" customWidth="1"/>
    <col min="6" max="6" width="30.33203125" style="108" customWidth="1"/>
    <col min="7" max="7" width="109.33203125" style="108" customWidth="1"/>
    <col min="8" max="8" width="16.109375" style="103" bestFit="1" customWidth="1"/>
    <col min="9" max="9" width="14" style="98" bestFit="1" customWidth="1"/>
    <col min="10" max="10" width="14" style="126" bestFit="1" customWidth="1"/>
    <col min="11" max="11" width="14" style="126" customWidth="1"/>
    <col min="12" max="12" width="16" style="126" bestFit="1" customWidth="1"/>
    <col min="13" max="16384" width="8.88671875" style="98"/>
  </cols>
  <sheetData>
    <row r="1" spans="1:12" ht="26.4" x14ac:dyDescent="0.3">
      <c r="A1" s="1" t="s">
        <v>864</v>
      </c>
      <c r="B1" s="1" t="s">
        <v>0</v>
      </c>
      <c r="C1" s="1" t="s">
        <v>1</v>
      </c>
      <c r="D1" s="1" t="s">
        <v>2</v>
      </c>
      <c r="E1" s="1" t="s">
        <v>878</v>
      </c>
      <c r="F1" s="1" t="s">
        <v>3</v>
      </c>
      <c r="G1" s="100" t="s">
        <v>4</v>
      </c>
      <c r="H1" s="2" t="s">
        <v>5</v>
      </c>
      <c r="I1" s="3" t="s">
        <v>6</v>
      </c>
      <c r="J1" s="3" t="s">
        <v>514</v>
      </c>
      <c r="K1" s="3" t="s">
        <v>534</v>
      </c>
      <c r="L1" s="3" t="s">
        <v>513</v>
      </c>
    </row>
    <row r="2" spans="1:12" ht="26.4" x14ac:dyDescent="0.3">
      <c r="A2" s="4" t="s">
        <v>865</v>
      </c>
      <c r="B2" s="4" t="s">
        <v>7</v>
      </c>
      <c r="C2" s="5" t="s">
        <v>8</v>
      </c>
      <c r="D2" s="5" t="s">
        <v>9</v>
      </c>
      <c r="E2" s="5" t="str">
        <f>SUBSTITUTE(D2," ","")</f>
        <v>GE01</v>
      </c>
      <c r="F2" s="5" t="s">
        <v>10</v>
      </c>
      <c r="G2" s="101" t="s">
        <v>11</v>
      </c>
      <c r="H2" s="120" t="s">
        <v>12</v>
      </c>
      <c r="I2" s="121">
        <v>0</v>
      </c>
      <c r="J2" s="121"/>
      <c r="K2" s="121" t="str">
        <f>IF(consolidado[[#This Row],[Observações]]="","Não","Sim")</f>
        <v>Não</v>
      </c>
      <c r="L2" s="119">
        <v>16</v>
      </c>
    </row>
    <row r="3" spans="1:12" ht="26.4" x14ac:dyDescent="0.3">
      <c r="A3" s="4" t="s">
        <v>865</v>
      </c>
      <c r="B3" s="4" t="s">
        <v>7</v>
      </c>
      <c r="C3" s="5" t="s">
        <v>8</v>
      </c>
      <c r="D3" s="5" t="s">
        <v>9</v>
      </c>
      <c r="E3" s="5" t="str">
        <f t="shared" ref="E3:E66" si="0">SUBSTITUTE(D3," ","")</f>
        <v>GE01</v>
      </c>
      <c r="F3" s="5" t="s">
        <v>10</v>
      </c>
      <c r="G3" s="101" t="s">
        <v>13</v>
      </c>
      <c r="H3" s="6" t="s">
        <v>14</v>
      </c>
      <c r="I3" s="122">
        <v>0</v>
      </c>
      <c r="J3" s="122" t="s">
        <v>534</v>
      </c>
      <c r="K3" s="121" t="str">
        <f>IF(consolidado[[#This Row],[Observações]]="","Não","Sim")</f>
        <v>Sim</v>
      </c>
      <c r="L3" s="119">
        <v>16</v>
      </c>
    </row>
    <row r="4" spans="1:12" ht="28.8" x14ac:dyDescent="0.3">
      <c r="A4" s="4" t="s">
        <v>865</v>
      </c>
      <c r="B4" s="4" t="s">
        <v>7</v>
      </c>
      <c r="C4" s="5" t="s">
        <v>8</v>
      </c>
      <c r="D4" s="5" t="s">
        <v>9</v>
      </c>
      <c r="E4" s="5" t="str">
        <f t="shared" si="0"/>
        <v>GE01</v>
      </c>
      <c r="F4" s="5" t="s">
        <v>10</v>
      </c>
      <c r="G4" s="101" t="s">
        <v>15</v>
      </c>
      <c r="H4" s="120" t="s">
        <v>16</v>
      </c>
      <c r="I4" s="121">
        <v>6</v>
      </c>
      <c r="J4" s="121"/>
      <c r="K4" s="121" t="str">
        <f>IF(consolidado[[#This Row],[Observações]]="","Não","Sim")</f>
        <v>Não</v>
      </c>
      <c r="L4" s="119">
        <v>16</v>
      </c>
    </row>
    <row r="5" spans="1:12" ht="28.8" x14ac:dyDescent="0.3">
      <c r="A5" s="4" t="s">
        <v>865</v>
      </c>
      <c r="B5" s="4" t="s">
        <v>7</v>
      </c>
      <c r="C5" s="5" t="s">
        <v>8</v>
      </c>
      <c r="D5" s="5" t="s">
        <v>9</v>
      </c>
      <c r="E5" s="5" t="str">
        <f t="shared" si="0"/>
        <v>GE01</v>
      </c>
      <c r="F5" s="5" t="s">
        <v>10</v>
      </c>
      <c r="G5" s="101" t="s">
        <v>17</v>
      </c>
      <c r="H5" s="120" t="s">
        <v>18</v>
      </c>
      <c r="I5" s="121">
        <v>8</v>
      </c>
      <c r="J5" s="121"/>
      <c r="K5" s="121" t="str">
        <f>IF(consolidado[[#This Row],[Observações]]="","Não","Sim")</f>
        <v>Não</v>
      </c>
      <c r="L5" s="119">
        <v>16</v>
      </c>
    </row>
    <row r="6" spans="1:12" ht="28.8" x14ac:dyDescent="0.3">
      <c r="A6" s="4" t="s">
        <v>865</v>
      </c>
      <c r="B6" s="4" t="s">
        <v>7</v>
      </c>
      <c r="C6" s="5" t="s">
        <v>8</v>
      </c>
      <c r="D6" s="5" t="s">
        <v>9</v>
      </c>
      <c r="E6" s="5" t="str">
        <f t="shared" si="0"/>
        <v>GE01</v>
      </c>
      <c r="F6" s="5" t="s">
        <v>10</v>
      </c>
      <c r="G6" s="101" t="s">
        <v>19</v>
      </c>
      <c r="H6" s="120" t="s">
        <v>20</v>
      </c>
      <c r="I6" s="121">
        <v>10</v>
      </c>
      <c r="J6" s="121"/>
      <c r="K6" s="121" t="str">
        <f>IF(consolidado[[#This Row],[Observações]]="","Não","Sim")</f>
        <v>Não</v>
      </c>
      <c r="L6" s="119">
        <v>16</v>
      </c>
    </row>
    <row r="7" spans="1:12" ht="26.4" x14ac:dyDescent="0.3">
      <c r="A7" s="4" t="s">
        <v>865</v>
      </c>
      <c r="B7" s="4" t="s">
        <v>7</v>
      </c>
      <c r="C7" s="5" t="s">
        <v>8</v>
      </c>
      <c r="D7" s="5" t="s">
        <v>21</v>
      </c>
      <c r="E7" s="5" t="str">
        <f t="shared" si="0"/>
        <v>GE02</v>
      </c>
      <c r="F7" s="5" t="s">
        <v>22</v>
      </c>
      <c r="G7" s="101" t="s">
        <v>23</v>
      </c>
      <c r="H7" s="120" t="s">
        <v>12</v>
      </c>
      <c r="I7" s="121">
        <v>0</v>
      </c>
      <c r="J7" s="121"/>
      <c r="K7" s="121" t="str">
        <f>IF(consolidado[[#This Row],[Observações]]="","Não","Sim")</f>
        <v>Não</v>
      </c>
      <c r="L7" s="119">
        <v>16</v>
      </c>
    </row>
    <row r="8" spans="1:12" ht="26.4" x14ac:dyDescent="0.3">
      <c r="A8" s="4" t="s">
        <v>865</v>
      </c>
      <c r="B8" s="4" t="s">
        <v>7</v>
      </c>
      <c r="C8" s="5" t="s">
        <v>8</v>
      </c>
      <c r="D8" s="5" t="s">
        <v>21</v>
      </c>
      <c r="E8" s="5" t="str">
        <f t="shared" si="0"/>
        <v>GE02</v>
      </c>
      <c r="F8" s="5" t="s">
        <v>22</v>
      </c>
      <c r="G8" s="101" t="s">
        <v>24</v>
      </c>
      <c r="H8" s="123" t="s">
        <v>16</v>
      </c>
      <c r="I8" s="122">
        <v>0</v>
      </c>
      <c r="J8" s="122" t="s">
        <v>534</v>
      </c>
      <c r="K8" s="121" t="str">
        <f>IF(consolidado[[#This Row],[Observações]]="","Não","Sim")</f>
        <v>Sim</v>
      </c>
      <c r="L8" s="119">
        <v>16</v>
      </c>
    </row>
    <row r="9" spans="1:12" ht="28.8" x14ac:dyDescent="0.3">
      <c r="A9" s="4" t="s">
        <v>865</v>
      </c>
      <c r="B9" s="4" t="s">
        <v>7</v>
      </c>
      <c r="C9" s="5" t="s">
        <v>8</v>
      </c>
      <c r="D9" s="5" t="s">
        <v>21</v>
      </c>
      <c r="E9" s="5" t="str">
        <f t="shared" si="0"/>
        <v>GE02</v>
      </c>
      <c r="F9" s="5" t="s">
        <v>22</v>
      </c>
      <c r="G9" s="101" t="s">
        <v>25</v>
      </c>
      <c r="H9" s="120" t="s">
        <v>18</v>
      </c>
      <c r="I9" s="121">
        <v>8</v>
      </c>
      <c r="J9" s="121"/>
      <c r="K9" s="121" t="str">
        <f>IF(consolidado[[#This Row],[Observações]]="","Não","Sim")</f>
        <v>Não</v>
      </c>
      <c r="L9" s="119">
        <v>16</v>
      </c>
    </row>
    <row r="10" spans="1:12" ht="43.2" x14ac:dyDescent="0.3">
      <c r="A10" s="4" t="s">
        <v>865</v>
      </c>
      <c r="B10" s="4" t="s">
        <v>7</v>
      </c>
      <c r="C10" s="5" t="s">
        <v>8</v>
      </c>
      <c r="D10" s="5" t="s">
        <v>21</v>
      </c>
      <c r="E10" s="5" t="str">
        <f t="shared" si="0"/>
        <v>GE02</v>
      </c>
      <c r="F10" s="5" t="s">
        <v>22</v>
      </c>
      <c r="G10" s="101" t="s">
        <v>26</v>
      </c>
      <c r="H10" s="120" t="s">
        <v>20</v>
      </c>
      <c r="I10" s="121">
        <v>10</v>
      </c>
      <c r="J10" s="121"/>
      <c r="K10" s="121" t="str">
        <f>IF(consolidado[[#This Row],[Observações]]="","Não","Sim")</f>
        <v>Não</v>
      </c>
      <c r="L10" s="119">
        <v>16</v>
      </c>
    </row>
    <row r="11" spans="1:12" ht="26.4" x14ac:dyDescent="0.3">
      <c r="A11" s="4" t="s">
        <v>865</v>
      </c>
      <c r="B11" s="4" t="s">
        <v>7</v>
      </c>
      <c r="C11" s="5" t="s">
        <v>8</v>
      </c>
      <c r="D11" s="5" t="s">
        <v>27</v>
      </c>
      <c r="E11" s="5" t="str">
        <f t="shared" si="0"/>
        <v>GE03</v>
      </c>
      <c r="F11" s="5" t="s">
        <v>28</v>
      </c>
      <c r="G11" s="101" t="s">
        <v>29</v>
      </c>
      <c r="H11" s="120" t="s">
        <v>12</v>
      </c>
      <c r="I11" s="121">
        <v>0</v>
      </c>
      <c r="J11" s="121"/>
      <c r="K11" s="121" t="str">
        <f>IF(consolidado[[#This Row],[Observações]]="","Não","Sim")</f>
        <v>Não</v>
      </c>
      <c r="L11" s="119">
        <v>6</v>
      </c>
    </row>
    <row r="12" spans="1:12" ht="28.8" x14ac:dyDescent="0.3">
      <c r="A12" s="4" t="s">
        <v>865</v>
      </c>
      <c r="B12" s="4" t="s">
        <v>7</v>
      </c>
      <c r="C12" s="5" t="s">
        <v>8</v>
      </c>
      <c r="D12" s="5" t="s">
        <v>27</v>
      </c>
      <c r="E12" s="5" t="str">
        <f t="shared" si="0"/>
        <v>GE03</v>
      </c>
      <c r="F12" s="5" t="s">
        <v>28</v>
      </c>
      <c r="G12" s="101" t="s">
        <v>30</v>
      </c>
      <c r="H12" s="123" t="s">
        <v>31</v>
      </c>
      <c r="I12" s="122">
        <v>0</v>
      </c>
      <c r="J12" s="122" t="s">
        <v>534</v>
      </c>
      <c r="K12" s="121" t="str">
        <f>IF(consolidado[[#This Row],[Observações]]="","Não","Sim")</f>
        <v>Sim</v>
      </c>
      <c r="L12" s="119">
        <v>6</v>
      </c>
    </row>
    <row r="13" spans="1:12" ht="72" x14ac:dyDescent="0.3">
      <c r="A13" s="4" t="s">
        <v>865</v>
      </c>
      <c r="B13" s="4" t="s">
        <v>7</v>
      </c>
      <c r="C13" s="5" t="s">
        <v>8</v>
      </c>
      <c r="D13" s="5" t="s">
        <v>32</v>
      </c>
      <c r="E13" s="5" t="str">
        <f t="shared" si="0"/>
        <v>GE04</v>
      </c>
      <c r="F13" s="5" t="s">
        <v>33</v>
      </c>
      <c r="G13" s="101" t="s">
        <v>34</v>
      </c>
      <c r="H13" s="120" t="s">
        <v>12</v>
      </c>
      <c r="I13" s="121">
        <v>0</v>
      </c>
      <c r="J13" s="121"/>
      <c r="K13" s="121" t="str">
        <f>IF(consolidado[[#This Row],[Observações]]="","Não","Sim")</f>
        <v>Não</v>
      </c>
      <c r="L13" s="119">
        <v>16</v>
      </c>
    </row>
    <row r="14" spans="1:12" ht="57.6" x14ac:dyDescent="0.3">
      <c r="A14" s="4" t="s">
        <v>865</v>
      </c>
      <c r="B14" s="4" t="s">
        <v>7</v>
      </c>
      <c r="C14" s="5" t="s">
        <v>8</v>
      </c>
      <c r="D14" s="5" t="s">
        <v>32</v>
      </c>
      <c r="E14" s="5" t="str">
        <f t="shared" si="0"/>
        <v>GE04</v>
      </c>
      <c r="F14" s="5" t="s">
        <v>33</v>
      </c>
      <c r="G14" s="101" t="s">
        <v>35</v>
      </c>
      <c r="H14" s="123" t="s">
        <v>18</v>
      </c>
      <c r="I14" s="122">
        <v>0</v>
      </c>
      <c r="J14" s="122" t="s">
        <v>534</v>
      </c>
      <c r="K14" s="121" t="str">
        <f>IF(consolidado[[#This Row],[Observações]]="","Não","Sim")</f>
        <v>Sim</v>
      </c>
      <c r="L14" s="119">
        <v>16</v>
      </c>
    </row>
    <row r="15" spans="1:12" ht="43.2" x14ac:dyDescent="0.3">
      <c r="A15" s="4" t="s">
        <v>865</v>
      </c>
      <c r="B15" s="4" t="s">
        <v>7</v>
      </c>
      <c r="C15" s="5" t="s">
        <v>8</v>
      </c>
      <c r="D15" s="5" t="s">
        <v>32</v>
      </c>
      <c r="E15" s="5" t="str">
        <f t="shared" si="0"/>
        <v>GE04</v>
      </c>
      <c r="F15" s="5" t="s">
        <v>33</v>
      </c>
      <c r="G15" s="101" t="s">
        <v>36</v>
      </c>
      <c r="H15" s="120" t="s">
        <v>20</v>
      </c>
      <c r="I15" s="121">
        <v>10</v>
      </c>
      <c r="J15" s="121"/>
      <c r="K15" s="121" t="str">
        <f>IF(consolidado[[#This Row],[Observações]]="","Não","Sim")</f>
        <v>Não</v>
      </c>
      <c r="L15" s="119">
        <v>16</v>
      </c>
    </row>
    <row r="16" spans="1:12" ht="28.8" x14ac:dyDescent="0.3">
      <c r="A16" s="4" t="s">
        <v>865</v>
      </c>
      <c r="B16" s="4" t="s">
        <v>7</v>
      </c>
      <c r="C16" s="5" t="s">
        <v>37</v>
      </c>
      <c r="D16" s="5" t="s">
        <v>38</v>
      </c>
      <c r="E16" s="5" t="str">
        <f t="shared" si="0"/>
        <v>GE05</v>
      </c>
      <c r="F16" s="5" t="s">
        <v>39</v>
      </c>
      <c r="G16" s="101" t="s">
        <v>40</v>
      </c>
      <c r="H16" s="120" t="s">
        <v>12</v>
      </c>
      <c r="I16" s="121">
        <v>0</v>
      </c>
      <c r="J16" s="121"/>
      <c r="K16" s="121" t="str">
        <f>IF(consolidado[[#This Row],[Observações]]="","Não","Sim")</f>
        <v>Não</v>
      </c>
      <c r="L16" s="119">
        <v>7</v>
      </c>
    </row>
    <row r="17" spans="1:12" ht="28.8" x14ac:dyDescent="0.3">
      <c r="A17" s="4" t="s">
        <v>865</v>
      </c>
      <c r="B17" s="4" t="s">
        <v>7</v>
      </c>
      <c r="C17" s="5" t="s">
        <v>37</v>
      </c>
      <c r="D17" s="5" t="s">
        <v>38</v>
      </c>
      <c r="E17" s="5" t="str">
        <f t="shared" si="0"/>
        <v>GE05</v>
      </c>
      <c r="F17" s="5" t="s">
        <v>39</v>
      </c>
      <c r="G17" s="101" t="s">
        <v>41</v>
      </c>
      <c r="H17" s="123" t="s">
        <v>14</v>
      </c>
      <c r="I17" s="122">
        <v>0</v>
      </c>
      <c r="J17" s="122" t="s">
        <v>534</v>
      </c>
      <c r="K17" s="121" t="str">
        <f>IF(consolidado[[#This Row],[Observações]]="","Não","Sim")</f>
        <v>Sim</v>
      </c>
      <c r="L17" s="119">
        <v>7</v>
      </c>
    </row>
    <row r="18" spans="1:12" ht="28.8" x14ac:dyDescent="0.3">
      <c r="A18" s="4" t="s">
        <v>865</v>
      </c>
      <c r="B18" s="4" t="s">
        <v>7</v>
      </c>
      <c r="C18" s="5" t="s">
        <v>37</v>
      </c>
      <c r="D18" s="5" t="s">
        <v>38</v>
      </c>
      <c r="E18" s="5" t="str">
        <f t="shared" si="0"/>
        <v>GE05</v>
      </c>
      <c r="F18" s="5" t="s">
        <v>39</v>
      </c>
      <c r="G18" s="101" t="s">
        <v>42</v>
      </c>
      <c r="H18" s="120" t="s">
        <v>16</v>
      </c>
      <c r="I18" s="121">
        <v>6</v>
      </c>
      <c r="J18" s="121"/>
      <c r="K18" s="121" t="str">
        <f>IF(consolidado[[#This Row],[Observações]]="","Não","Sim")</f>
        <v>Não</v>
      </c>
      <c r="L18" s="119">
        <v>7</v>
      </c>
    </row>
    <row r="19" spans="1:12" ht="28.8" x14ac:dyDescent="0.3">
      <c r="A19" s="4" t="s">
        <v>865</v>
      </c>
      <c r="B19" s="4" t="s">
        <v>7</v>
      </c>
      <c r="C19" s="5" t="s">
        <v>37</v>
      </c>
      <c r="D19" s="5" t="s">
        <v>38</v>
      </c>
      <c r="E19" s="5" t="str">
        <f t="shared" si="0"/>
        <v>GE05</v>
      </c>
      <c r="F19" s="5" t="s">
        <v>39</v>
      </c>
      <c r="G19" s="101" t="s">
        <v>43</v>
      </c>
      <c r="H19" s="120" t="s">
        <v>18</v>
      </c>
      <c r="I19" s="121">
        <v>8</v>
      </c>
      <c r="J19" s="121"/>
      <c r="K19" s="121" t="str">
        <f>IF(consolidado[[#This Row],[Observações]]="","Não","Sim")</f>
        <v>Não</v>
      </c>
      <c r="L19" s="119">
        <v>7</v>
      </c>
    </row>
    <row r="20" spans="1:12" ht="28.8" x14ac:dyDescent="0.3">
      <c r="A20" s="4" t="s">
        <v>865</v>
      </c>
      <c r="B20" s="4" t="s">
        <v>7</v>
      </c>
      <c r="C20" s="5" t="s">
        <v>37</v>
      </c>
      <c r="D20" s="5" t="s">
        <v>38</v>
      </c>
      <c r="E20" s="5" t="str">
        <f t="shared" si="0"/>
        <v>GE05</v>
      </c>
      <c r="F20" s="5" t="s">
        <v>39</v>
      </c>
      <c r="G20" s="101" t="s">
        <v>44</v>
      </c>
      <c r="H20" s="120" t="s">
        <v>20</v>
      </c>
      <c r="I20" s="121">
        <v>10</v>
      </c>
      <c r="J20" s="121"/>
      <c r="K20" s="121" t="str">
        <f>IF(consolidado[[#This Row],[Observações]]="","Não","Sim")</f>
        <v>Não</v>
      </c>
      <c r="L20" s="119">
        <v>7</v>
      </c>
    </row>
    <row r="21" spans="1:12" ht="28.8" x14ac:dyDescent="0.3">
      <c r="A21" s="4" t="s">
        <v>865</v>
      </c>
      <c r="B21" s="4" t="s">
        <v>7</v>
      </c>
      <c r="C21" s="5" t="s">
        <v>37</v>
      </c>
      <c r="D21" s="5" t="s">
        <v>45</v>
      </c>
      <c r="E21" s="5" t="str">
        <f t="shared" si="0"/>
        <v>GE06</v>
      </c>
      <c r="F21" s="5" t="s">
        <v>46</v>
      </c>
      <c r="G21" s="101" t="s">
        <v>47</v>
      </c>
      <c r="H21" s="120" t="s">
        <v>12</v>
      </c>
      <c r="I21" s="121">
        <v>0</v>
      </c>
      <c r="J21" s="121"/>
      <c r="K21" s="121" t="str">
        <f>IF(consolidado[[#This Row],[Observações]]="","Não","Sim")</f>
        <v>Não</v>
      </c>
      <c r="L21" s="119">
        <v>7</v>
      </c>
    </row>
    <row r="22" spans="1:12" ht="28.8" x14ac:dyDescent="0.3">
      <c r="A22" s="4" t="s">
        <v>865</v>
      </c>
      <c r="B22" s="4" t="s">
        <v>7</v>
      </c>
      <c r="C22" s="5" t="s">
        <v>37</v>
      </c>
      <c r="D22" s="5" t="s">
        <v>45</v>
      </c>
      <c r="E22" s="5" t="str">
        <f t="shared" si="0"/>
        <v>GE06</v>
      </c>
      <c r="F22" s="5" t="s">
        <v>46</v>
      </c>
      <c r="G22" s="101" t="s">
        <v>48</v>
      </c>
      <c r="H22" s="124" t="s">
        <v>14</v>
      </c>
      <c r="I22" s="121">
        <v>0</v>
      </c>
      <c r="J22" s="121"/>
      <c r="K22" s="121" t="str">
        <f>IF(consolidado[[#This Row],[Observações]]="","Não","Sim")</f>
        <v>Não</v>
      </c>
      <c r="L22" s="119">
        <v>7</v>
      </c>
    </row>
    <row r="23" spans="1:12" ht="28.8" x14ac:dyDescent="0.3">
      <c r="A23" s="4" t="s">
        <v>865</v>
      </c>
      <c r="B23" s="4" t="s">
        <v>7</v>
      </c>
      <c r="C23" s="5" t="s">
        <v>37</v>
      </c>
      <c r="D23" s="5" t="s">
        <v>45</v>
      </c>
      <c r="E23" s="5" t="str">
        <f t="shared" si="0"/>
        <v>GE06</v>
      </c>
      <c r="F23" s="5" t="s">
        <v>46</v>
      </c>
      <c r="G23" s="101" t="s">
        <v>49</v>
      </c>
      <c r="H23" s="120" t="s">
        <v>16</v>
      </c>
      <c r="I23" s="121">
        <v>6</v>
      </c>
      <c r="J23" s="121"/>
      <c r="K23" s="121" t="str">
        <f>IF(consolidado[[#This Row],[Observações]]="","Não","Sim")</f>
        <v>Não</v>
      </c>
      <c r="L23" s="119">
        <v>7</v>
      </c>
    </row>
    <row r="24" spans="1:12" ht="28.8" x14ac:dyDescent="0.3">
      <c r="A24" s="4" t="s">
        <v>865</v>
      </c>
      <c r="B24" s="4" t="s">
        <v>7</v>
      </c>
      <c r="C24" s="5" t="s">
        <v>37</v>
      </c>
      <c r="D24" s="5" t="s">
        <v>45</v>
      </c>
      <c r="E24" s="5" t="str">
        <f t="shared" si="0"/>
        <v>GE06</v>
      </c>
      <c r="F24" s="5" t="s">
        <v>46</v>
      </c>
      <c r="G24" s="101" t="s">
        <v>50</v>
      </c>
      <c r="H24" s="120" t="s">
        <v>18</v>
      </c>
      <c r="I24" s="121">
        <v>8</v>
      </c>
      <c r="J24" s="121"/>
      <c r="K24" s="121" t="str">
        <f>IF(consolidado[[#This Row],[Observações]]="","Não","Sim")</f>
        <v>Não</v>
      </c>
      <c r="L24" s="119">
        <v>7</v>
      </c>
    </row>
    <row r="25" spans="1:12" ht="28.8" x14ac:dyDescent="0.3">
      <c r="A25" s="4" t="s">
        <v>865</v>
      </c>
      <c r="B25" s="4" t="s">
        <v>7</v>
      </c>
      <c r="C25" s="5" t="s">
        <v>37</v>
      </c>
      <c r="D25" s="5" t="s">
        <v>45</v>
      </c>
      <c r="E25" s="5" t="str">
        <f t="shared" si="0"/>
        <v>GE06</v>
      </c>
      <c r="F25" s="5" t="s">
        <v>46</v>
      </c>
      <c r="G25" s="101" t="s">
        <v>51</v>
      </c>
      <c r="H25" s="120" t="s">
        <v>20</v>
      </c>
      <c r="I25" s="121">
        <v>10</v>
      </c>
      <c r="J25" s="121"/>
      <c r="K25" s="121" t="str">
        <f>IF(consolidado[[#This Row],[Observações]]="","Não","Sim")</f>
        <v>Não</v>
      </c>
      <c r="L25" s="119">
        <v>7</v>
      </c>
    </row>
    <row r="26" spans="1:12" ht="26.4" x14ac:dyDescent="0.3">
      <c r="A26" s="4" t="s">
        <v>865</v>
      </c>
      <c r="B26" s="4" t="s">
        <v>7</v>
      </c>
      <c r="C26" s="5" t="s">
        <v>52</v>
      </c>
      <c r="D26" s="5" t="s">
        <v>53</v>
      </c>
      <c r="E26" s="5" t="str">
        <f t="shared" si="0"/>
        <v>GE07</v>
      </c>
      <c r="F26" s="5" t="s">
        <v>54</v>
      </c>
      <c r="G26" s="101" t="s">
        <v>55</v>
      </c>
      <c r="H26" s="120" t="s">
        <v>12</v>
      </c>
      <c r="I26" s="121">
        <v>0</v>
      </c>
      <c r="J26" s="121"/>
      <c r="K26" s="121" t="str">
        <f>IF(consolidado[[#This Row],[Observações]]="","Não","Sim")</f>
        <v>Não</v>
      </c>
      <c r="L26" s="119">
        <v>6</v>
      </c>
    </row>
    <row r="27" spans="1:12" ht="26.4" x14ac:dyDescent="0.3">
      <c r="A27" s="4" t="s">
        <v>865</v>
      </c>
      <c r="B27" s="4" t="s">
        <v>7</v>
      </c>
      <c r="C27" s="5" t="s">
        <v>52</v>
      </c>
      <c r="D27" s="5" t="s">
        <v>53</v>
      </c>
      <c r="E27" s="5" t="str">
        <f t="shared" si="0"/>
        <v>GE07</v>
      </c>
      <c r="F27" s="5" t="s">
        <v>54</v>
      </c>
      <c r="G27" s="101" t="s">
        <v>56</v>
      </c>
      <c r="H27" s="123" t="s">
        <v>14</v>
      </c>
      <c r="I27" s="122">
        <v>0</v>
      </c>
      <c r="J27" s="122" t="s">
        <v>534</v>
      </c>
      <c r="K27" s="121" t="str">
        <f>IF(consolidado[[#This Row],[Observações]]="","Não","Sim")</f>
        <v>Sim</v>
      </c>
      <c r="L27" s="119">
        <v>6</v>
      </c>
    </row>
    <row r="28" spans="1:12" ht="26.4" x14ac:dyDescent="0.3">
      <c r="A28" s="4" t="s">
        <v>865</v>
      </c>
      <c r="B28" s="4" t="s">
        <v>7</v>
      </c>
      <c r="C28" s="5" t="s">
        <v>52</v>
      </c>
      <c r="D28" s="5" t="s">
        <v>53</v>
      </c>
      <c r="E28" s="5" t="str">
        <f t="shared" si="0"/>
        <v>GE07</v>
      </c>
      <c r="F28" s="5" t="s">
        <v>54</v>
      </c>
      <c r="G28" s="101" t="s">
        <v>57</v>
      </c>
      <c r="H28" s="120" t="s">
        <v>16</v>
      </c>
      <c r="I28" s="121">
        <v>6</v>
      </c>
      <c r="J28" s="121"/>
      <c r="K28" s="121" t="str">
        <f>IF(consolidado[[#This Row],[Observações]]="","Não","Sim")</f>
        <v>Não</v>
      </c>
      <c r="L28" s="119">
        <v>6</v>
      </c>
    </row>
    <row r="29" spans="1:12" ht="28.8" x14ac:dyDescent="0.3">
      <c r="A29" s="4" t="s">
        <v>865</v>
      </c>
      <c r="B29" s="4" t="s">
        <v>7</v>
      </c>
      <c r="C29" s="5" t="s">
        <v>52</v>
      </c>
      <c r="D29" s="5" t="s">
        <v>53</v>
      </c>
      <c r="E29" s="5" t="str">
        <f t="shared" si="0"/>
        <v>GE07</v>
      </c>
      <c r="F29" s="5" t="s">
        <v>54</v>
      </c>
      <c r="G29" s="101" t="s">
        <v>58</v>
      </c>
      <c r="H29" s="120" t="s">
        <v>18</v>
      </c>
      <c r="I29" s="121">
        <v>8</v>
      </c>
      <c r="J29" s="121"/>
      <c r="K29" s="121" t="str">
        <f>IF(consolidado[[#This Row],[Observações]]="","Não","Sim")</f>
        <v>Não</v>
      </c>
      <c r="L29" s="119">
        <v>6</v>
      </c>
    </row>
    <row r="30" spans="1:12" ht="28.8" x14ac:dyDescent="0.3">
      <c r="A30" s="4" t="s">
        <v>865</v>
      </c>
      <c r="B30" s="4" t="s">
        <v>7</v>
      </c>
      <c r="C30" s="5" t="s">
        <v>52</v>
      </c>
      <c r="D30" s="5" t="s">
        <v>53</v>
      </c>
      <c r="E30" s="5" t="str">
        <f t="shared" si="0"/>
        <v>GE07</v>
      </c>
      <c r="F30" s="5" t="s">
        <v>54</v>
      </c>
      <c r="G30" s="101" t="s">
        <v>59</v>
      </c>
      <c r="H30" s="120" t="s">
        <v>20</v>
      </c>
      <c r="I30" s="121">
        <v>10</v>
      </c>
      <c r="J30" s="121"/>
      <c r="K30" s="121" t="str">
        <f>IF(consolidado[[#This Row],[Observações]]="","Não","Sim")</f>
        <v>Não</v>
      </c>
      <c r="L30" s="119">
        <v>6</v>
      </c>
    </row>
    <row r="31" spans="1:12" ht="28.8" x14ac:dyDescent="0.3">
      <c r="A31" s="4" t="s">
        <v>865</v>
      </c>
      <c r="B31" s="4" t="s">
        <v>7</v>
      </c>
      <c r="C31" s="5" t="s">
        <v>52</v>
      </c>
      <c r="D31" s="5" t="s">
        <v>60</v>
      </c>
      <c r="E31" s="5" t="str">
        <f t="shared" si="0"/>
        <v>GE08</v>
      </c>
      <c r="F31" s="5" t="s">
        <v>61</v>
      </c>
      <c r="G31" s="101" t="s">
        <v>62</v>
      </c>
      <c r="H31" s="120" t="s">
        <v>12</v>
      </c>
      <c r="I31" s="121">
        <v>0</v>
      </c>
      <c r="J31" s="121"/>
      <c r="K31" s="121" t="str">
        <f>IF(consolidado[[#This Row],[Observações]]="","Não","Sim")</f>
        <v>Não</v>
      </c>
      <c r="L31" s="119">
        <v>6</v>
      </c>
    </row>
    <row r="32" spans="1:12" ht="28.8" x14ac:dyDescent="0.3">
      <c r="A32" s="4" t="s">
        <v>865</v>
      </c>
      <c r="B32" s="4" t="s">
        <v>7</v>
      </c>
      <c r="C32" s="5" t="s">
        <v>52</v>
      </c>
      <c r="D32" s="5" t="s">
        <v>60</v>
      </c>
      <c r="E32" s="5" t="str">
        <f t="shared" si="0"/>
        <v>GE08</v>
      </c>
      <c r="F32" s="5" t="s">
        <v>61</v>
      </c>
      <c r="G32" s="101" t="s">
        <v>63</v>
      </c>
      <c r="H32" s="123" t="s">
        <v>16</v>
      </c>
      <c r="I32" s="122">
        <v>0</v>
      </c>
      <c r="J32" s="122" t="s">
        <v>534</v>
      </c>
      <c r="K32" s="121" t="str">
        <f>IF(consolidado[[#This Row],[Observações]]="","Não","Sim")</f>
        <v>Sim</v>
      </c>
      <c r="L32" s="119">
        <v>6</v>
      </c>
    </row>
    <row r="33" spans="1:12" ht="28.8" x14ac:dyDescent="0.3">
      <c r="A33" s="4" t="s">
        <v>865</v>
      </c>
      <c r="B33" s="4" t="s">
        <v>7</v>
      </c>
      <c r="C33" s="5" t="s">
        <v>52</v>
      </c>
      <c r="D33" s="5" t="s">
        <v>60</v>
      </c>
      <c r="E33" s="5" t="str">
        <f t="shared" si="0"/>
        <v>GE08</v>
      </c>
      <c r="F33" s="5" t="s">
        <v>61</v>
      </c>
      <c r="G33" s="101" t="s">
        <v>64</v>
      </c>
      <c r="H33" s="120" t="s">
        <v>18</v>
      </c>
      <c r="I33" s="121">
        <v>8</v>
      </c>
      <c r="J33" s="121"/>
      <c r="K33" s="121" t="str">
        <f>IF(consolidado[[#This Row],[Observações]]="","Não","Sim")</f>
        <v>Não</v>
      </c>
      <c r="L33" s="119">
        <v>6</v>
      </c>
    </row>
    <row r="34" spans="1:12" ht="28.8" x14ac:dyDescent="0.3">
      <c r="A34" s="4" t="s">
        <v>865</v>
      </c>
      <c r="B34" s="4" t="s">
        <v>7</v>
      </c>
      <c r="C34" s="5" t="s">
        <v>52</v>
      </c>
      <c r="D34" s="5" t="s">
        <v>60</v>
      </c>
      <c r="E34" s="5" t="str">
        <f t="shared" si="0"/>
        <v>GE08</v>
      </c>
      <c r="F34" s="5" t="s">
        <v>61</v>
      </c>
      <c r="G34" s="101" t="s">
        <v>65</v>
      </c>
      <c r="H34" s="120" t="s">
        <v>20</v>
      </c>
      <c r="I34" s="121">
        <v>10</v>
      </c>
      <c r="J34" s="121"/>
      <c r="K34" s="121" t="str">
        <f>IF(consolidado[[#This Row],[Observações]]="","Não","Sim")</f>
        <v>Não</v>
      </c>
      <c r="L34" s="119">
        <v>6</v>
      </c>
    </row>
    <row r="35" spans="1:12" ht="43.2" x14ac:dyDescent="0.3">
      <c r="A35" s="4" t="s">
        <v>865</v>
      </c>
      <c r="B35" s="4" t="s">
        <v>7</v>
      </c>
      <c r="C35" s="5" t="s">
        <v>52</v>
      </c>
      <c r="D35" s="5" t="s">
        <v>66</v>
      </c>
      <c r="E35" s="5" t="str">
        <f t="shared" si="0"/>
        <v>GE09</v>
      </c>
      <c r="F35" s="5" t="s">
        <v>67</v>
      </c>
      <c r="G35" s="101" t="s">
        <v>68</v>
      </c>
      <c r="H35" s="120" t="s">
        <v>12</v>
      </c>
      <c r="I35" s="121">
        <v>0</v>
      </c>
      <c r="J35" s="121"/>
      <c r="K35" s="121" t="str">
        <f>IF(consolidado[[#This Row],[Observações]]="","Não","Sim")</f>
        <v>Não</v>
      </c>
      <c r="L35" s="119">
        <v>6</v>
      </c>
    </row>
    <row r="36" spans="1:12" ht="57.6" x14ac:dyDescent="0.3">
      <c r="A36" s="4" t="s">
        <v>865</v>
      </c>
      <c r="B36" s="4" t="s">
        <v>7</v>
      </c>
      <c r="C36" s="5" t="s">
        <v>52</v>
      </c>
      <c r="D36" s="5" t="s">
        <v>66</v>
      </c>
      <c r="E36" s="5" t="str">
        <f t="shared" si="0"/>
        <v>GE09</v>
      </c>
      <c r="F36" s="5" t="s">
        <v>67</v>
      </c>
      <c r="G36" s="101" t="s">
        <v>69</v>
      </c>
      <c r="H36" s="120" t="s">
        <v>18</v>
      </c>
      <c r="I36" s="121">
        <v>8</v>
      </c>
      <c r="J36" s="121"/>
      <c r="K36" s="121" t="str">
        <f>IF(consolidado[[#This Row],[Observações]]="","Não","Sim")</f>
        <v>Não</v>
      </c>
      <c r="L36" s="119">
        <v>6</v>
      </c>
    </row>
    <row r="37" spans="1:12" ht="43.2" x14ac:dyDescent="0.3">
      <c r="A37" s="4" t="s">
        <v>865</v>
      </c>
      <c r="B37" s="4" t="s">
        <v>7</v>
      </c>
      <c r="C37" s="5" t="s">
        <v>52</v>
      </c>
      <c r="D37" s="5" t="s">
        <v>66</v>
      </c>
      <c r="E37" s="5" t="str">
        <f t="shared" si="0"/>
        <v>GE09</v>
      </c>
      <c r="F37" s="5" t="s">
        <v>67</v>
      </c>
      <c r="G37" s="101" t="s">
        <v>70</v>
      </c>
      <c r="H37" s="120" t="s">
        <v>20</v>
      </c>
      <c r="I37" s="121">
        <v>10</v>
      </c>
      <c r="J37" s="121"/>
      <c r="K37" s="121" t="str">
        <f>IF(consolidado[[#This Row],[Observações]]="","Não","Sim")</f>
        <v>Não</v>
      </c>
      <c r="L37" s="119">
        <v>6</v>
      </c>
    </row>
    <row r="38" spans="1:12" ht="28.8" x14ac:dyDescent="0.3">
      <c r="A38" s="4" t="s">
        <v>865</v>
      </c>
      <c r="B38" s="4" t="s">
        <v>7</v>
      </c>
      <c r="C38" s="5" t="s">
        <v>866</v>
      </c>
      <c r="D38" s="5" t="s">
        <v>71</v>
      </c>
      <c r="E38" s="5" t="str">
        <f t="shared" si="0"/>
        <v>GE10</v>
      </c>
      <c r="F38" s="5" t="s">
        <v>72</v>
      </c>
      <c r="G38" s="101" t="s">
        <v>73</v>
      </c>
      <c r="H38" s="120" t="s">
        <v>12</v>
      </c>
      <c r="I38" s="121">
        <v>0</v>
      </c>
      <c r="J38" s="121"/>
      <c r="K38" s="121" t="str">
        <f>IF(consolidado[[#This Row],[Observações]]="","Não","Sim")</f>
        <v>Não</v>
      </c>
      <c r="L38" s="119">
        <v>12</v>
      </c>
    </row>
    <row r="39" spans="1:12" ht="28.8" x14ac:dyDescent="0.3">
      <c r="A39" s="4" t="s">
        <v>865</v>
      </c>
      <c r="B39" s="4" t="s">
        <v>7</v>
      </c>
      <c r="C39" s="5" t="s">
        <v>866</v>
      </c>
      <c r="D39" s="5" t="s">
        <v>71</v>
      </c>
      <c r="E39" s="5" t="str">
        <f t="shared" si="0"/>
        <v>GE10</v>
      </c>
      <c r="F39" s="5" t="s">
        <v>72</v>
      </c>
      <c r="G39" s="101" t="s">
        <v>74</v>
      </c>
      <c r="H39" s="123" t="s">
        <v>16</v>
      </c>
      <c r="I39" s="122">
        <v>0</v>
      </c>
      <c r="J39" s="122" t="s">
        <v>534</v>
      </c>
      <c r="K39" s="121" t="str">
        <f>IF(consolidado[[#This Row],[Observações]]="","Não","Sim")</f>
        <v>Sim</v>
      </c>
      <c r="L39" s="119">
        <v>12</v>
      </c>
    </row>
    <row r="40" spans="1:12" ht="28.8" x14ac:dyDescent="0.3">
      <c r="A40" s="4" t="s">
        <v>865</v>
      </c>
      <c r="B40" s="4" t="s">
        <v>7</v>
      </c>
      <c r="C40" s="5" t="s">
        <v>866</v>
      </c>
      <c r="D40" s="5" t="s">
        <v>71</v>
      </c>
      <c r="E40" s="5" t="str">
        <f t="shared" si="0"/>
        <v>GE10</v>
      </c>
      <c r="F40" s="5" t="s">
        <v>72</v>
      </c>
      <c r="G40" s="101" t="s">
        <v>75</v>
      </c>
      <c r="H40" s="120" t="s">
        <v>18</v>
      </c>
      <c r="I40" s="121">
        <v>8</v>
      </c>
      <c r="J40" s="121"/>
      <c r="K40" s="121" t="str">
        <f>IF(consolidado[[#This Row],[Observações]]="","Não","Sim")</f>
        <v>Não</v>
      </c>
      <c r="L40" s="119">
        <v>12</v>
      </c>
    </row>
    <row r="41" spans="1:12" ht="28.8" x14ac:dyDescent="0.3">
      <c r="A41" s="4" t="s">
        <v>865</v>
      </c>
      <c r="B41" s="4" t="s">
        <v>7</v>
      </c>
      <c r="C41" s="5" t="s">
        <v>866</v>
      </c>
      <c r="D41" s="5" t="s">
        <v>71</v>
      </c>
      <c r="E41" s="5" t="str">
        <f t="shared" si="0"/>
        <v>GE10</v>
      </c>
      <c r="F41" s="5" t="s">
        <v>72</v>
      </c>
      <c r="G41" s="101" t="s">
        <v>76</v>
      </c>
      <c r="H41" s="120" t="s">
        <v>20</v>
      </c>
      <c r="I41" s="121">
        <v>10</v>
      </c>
      <c r="J41" s="121"/>
      <c r="K41" s="121" t="str">
        <f>IF(consolidado[[#This Row],[Observações]]="","Não","Sim")</f>
        <v>Não</v>
      </c>
      <c r="L41" s="119">
        <v>12</v>
      </c>
    </row>
    <row r="42" spans="1:12" ht="26.4" x14ac:dyDescent="0.3">
      <c r="A42" s="4" t="s">
        <v>865</v>
      </c>
      <c r="B42" s="4" t="s">
        <v>7</v>
      </c>
      <c r="C42" s="5" t="s">
        <v>866</v>
      </c>
      <c r="D42" s="5" t="s">
        <v>77</v>
      </c>
      <c r="E42" s="5" t="str">
        <f t="shared" si="0"/>
        <v>GE11</v>
      </c>
      <c r="F42" s="5" t="s">
        <v>78</v>
      </c>
      <c r="G42" s="101" t="s">
        <v>79</v>
      </c>
      <c r="H42" s="120" t="s">
        <v>12</v>
      </c>
      <c r="I42" s="121">
        <v>0</v>
      </c>
      <c r="J42" s="121"/>
      <c r="K42" s="121" t="str">
        <f>IF(consolidado[[#This Row],[Observações]]="","Não","Sim")</f>
        <v>Não</v>
      </c>
      <c r="L42" s="119">
        <v>12</v>
      </c>
    </row>
    <row r="43" spans="1:12" ht="28.8" x14ac:dyDescent="0.3">
      <c r="A43" s="4" t="s">
        <v>865</v>
      </c>
      <c r="B43" s="4" t="s">
        <v>7</v>
      </c>
      <c r="C43" s="5" t="s">
        <v>866</v>
      </c>
      <c r="D43" s="5" t="s">
        <v>77</v>
      </c>
      <c r="E43" s="5" t="str">
        <f t="shared" si="0"/>
        <v>GE11</v>
      </c>
      <c r="F43" s="5" t="s">
        <v>78</v>
      </c>
      <c r="G43" s="101" t="s">
        <v>80</v>
      </c>
      <c r="H43" s="123" t="s">
        <v>31</v>
      </c>
      <c r="I43" s="122">
        <v>0</v>
      </c>
      <c r="J43" s="122" t="s">
        <v>534</v>
      </c>
      <c r="K43" s="121" t="str">
        <f>IF(consolidado[[#This Row],[Observações]]="","Não","Sim")</f>
        <v>Sim</v>
      </c>
      <c r="L43" s="119">
        <v>12</v>
      </c>
    </row>
    <row r="44" spans="1:12" ht="26.4" x14ac:dyDescent="0.3">
      <c r="A44" s="4" t="s">
        <v>865</v>
      </c>
      <c r="B44" s="4" t="s">
        <v>7</v>
      </c>
      <c r="C44" s="5" t="s">
        <v>866</v>
      </c>
      <c r="D44" s="5" t="s">
        <v>81</v>
      </c>
      <c r="E44" s="5" t="str">
        <f t="shared" si="0"/>
        <v>GE12</v>
      </c>
      <c r="F44" s="5" t="s">
        <v>82</v>
      </c>
      <c r="G44" s="101" t="s">
        <v>83</v>
      </c>
      <c r="H44" s="120" t="s">
        <v>12</v>
      </c>
      <c r="I44" s="121">
        <v>0</v>
      </c>
      <c r="J44" s="121"/>
      <c r="K44" s="121" t="str">
        <f>IF(consolidado[[#This Row],[Observações]]="","Não","Sim")</f>
        <v>Não</v>
      </c>
      <c r="L44" s="119">
        <v>12</v>
      </c>
    </row>
    <row r="45" spans="1:12" ht="28.8" x14ac:dyDescent="0.3">
      <c r="A45" s="4" t="s">
        <v>865</v>
      </c>
      <c r="B45" s="4" t="s">
        <v>7</v>
      </c>
      <c r="C45" s="5" t="s">
        <v>866</v>
      </c>
      <c r="D45" s="5" t="s">
        <v>81</v>
      </c>
      <c r="E45" s="5" t="str">
        <f t="shared" si="0"/>
        <v>GE12</v>
      </c>
      <c r="F45" s="5" t="s">
        <v>82</v>
      </c>
      <c r="G45" s="101" t="s">
        <v>84</v>
      </c>
      <c r="H45" s="123" t="s">
        <v>16</v>
      </c>
      <c r="I45" s="122">
        <v>0</v>
      </c>
      <c r="J45" s="122" t="s">
        <v>534</v>
      </c>
      <c r="K45" s="121" t="str">
        <f>IF(consolidado[[#This Row],[Observações]]="","Não","Sim")</f>
        <v>Sim</v>
      </c>
      <c r="L45" s="119">
        <v>12</v>
      </c>
    </row>
    <row r="46" spans="1:12" ht="28.8" x14ac:dyDescent="0.3">
      <c r="A46" s="4" t="s">
        <v>865</v>
      </c>
      <c r="B46" s="4" t="s">
        <v>7</v>
      </c>
      <c r="C46" s="5" t="s">
        <v>866</v>
      </c>
      <c r="D46" s="5" t="s">
        <v>81</v>
      </c>
      <c r="E46" s="5" t="str">
        <f t="shared" si="0"/>
        <v>GE12</v>
      </c>
      <c r="F46" s="5" t="s">
        <v>82</v>
      </c>
      <c r="G46" s="101" t="s">
        <v>85</v>
      </c>
      <c r="H46" s="120" t="s">
        <v>18</v>
      </c>
      <c r="I46" s="121">
        <v>8</v>
      </c>
      <c r="J46" s="121"/>
      <c r="K46" s="121" t="str">
        <f>IF(consolidado[[#This Row],[Observações]]="","Não","Sim")</f>
        <v>Não</v>
      </c>
      <c r="L46" s="119">
        <v>12</v>
      </c>
    </row>
    <row r="47" spans="1:12" ht="26.4" x14ac:dyDescent="0.3">
      <c r="A47" s="4" t="s">
        <v>865</v>
      </c>
      <c r="B47" s="4" t="s">
        <v>7</v>
      </c>
      <c r="C47" s="5" t="s">
        <v>866</v>
      </c>
      <c r="D47" s="5" t="s">
        <v>81</v>
      </c>
      <c r="E47" s="5" t="str">
        <f t="shared" si="0"/>
        <v>GE12</v>
      </c>
      <c r="F47" s="5" t="s">
        <v>82</v>
      </c>
      <c r="G47" s="101" t="s">
        <v>86</v>
      </c>
      <c r="H47" s="120" t="s">
        <v>20</v>
      </c>
      <c r="I47" s="121">
        <v>10</v>
      </c>
      <c r="J47" s="121"/>
      <c r="K47" s="121" t="str">
        <f>IF(consolidado[[#This Row],[Observações]]="","Não","Sim")</f>
        <v>Não</v>
      </c>
      <c r="L47" s="119">
        <v>12</v>
      </c>
    </row>
    <row r="48" spans="1:12" ht="26.4" x14ac:dyDescent="0.3">
      <c r="A48" s="4" t="s">
        <v>865</v>
      </c>
      <c r="B48" s="4" t="s">
        <v>7</v>
      </c>
      <c r="C48" s="5" t="s">
        <v>867</v>
      </c>
      <c r="D48" s="5" t="s">
        <v>87</v>
      </c>
      <c r="E48" s="5" t="str">
        <f t="shared" si="0"/>
        <v>GE13</v>
      </c>
      <c r="F48" s="5" t="s">
        <v>88</v>
      </c>
      <c r="G48" s="101" t="s">
        <v>89</v>
      </c>
      <c r="H48" s="120" t="s">
        <v>12</v>
      </c>
      <c r="I48" s="121">
        <v>0</v>
      </c>
      <c r="J48" s="121"/>
      <c r="K48" s="121" t="str">
        <f>IF(consolidado[[#This Row],[Observações]]="","Não","Sim")</f>
        <v>Não</v>
      </c>
      <c r="L48" s="119">
        <v>13</v>
      </c>
    </row>
    <row r="49" spans="1:12" ht="28.8" x14ac:dyDescent="0.3">
      <c r="A49" s="4" t="s">
        <v>865</v>
      </c>
      <c r="B49" s="4" t="s">
        <v>7</v>
      </c>
      <c r="C49" s="5" t="s">
        <v>867</v>
      </c>
      <c r="D49" s="5" t="s">
        <v>87</v>
      </c>
      <c r="E49" s="5" t="str">
        <f t="shared" si="0"/>
        <v>GE13</v>
      </c>
      <c r="F49" s="5" t="s">
        <v>88</v>
      </c>
      <c r="G49" s="101" t="s">
        <v>90</v>
      </c>
      <c r="H49" s="120" t="s">
        <v>14</v>
      </c>
      <c r="I49" s="121">
        <v>4</v>
      </c>
      <c r="J49" s="121"/>
      <c r="K49" s="121" t="str">
        <f>IF(consolidado[[#This Row],[Observações]]="","Não","Sim")</f>
        <v>Não</v>
      </c>
      <c r="L49" s="119">
        <v>13</v>
      </c>
    </row>
    <row r="50" spans="1:12" ht="28.8" x14ac:dyDescent="0.3">
      <c r="A50" s="4" t="s">
        <v>865</v>
      </c>
      <c r="B50" s="4" t="s">
        <v>7</v>
      </c>
      <c r="C50" s="5" t="s">
        <v>867</v>
      </c>
      <c r="D50" s="5" t="s">
        <v>87</v>
      </c>
      <c r="E50" s="5" t="str">
        <f t="shared" si="0"/>
        <v>GE13</v>
      </c>
      <c r="F50" s="5" t="s">
        <v>88</v>
      </c>
      <c r="G50" s="101" t="s">
        <v>91</v>
      </c>
      <c r="H50" s="120" t="s">
        <v>16</v>
      </c>
      <c r="I50" s="121">
        <v>6</v>
      </c>
      <c r="J50" s="121"/>
      <c r="K50" s="121" t="str">
        <f>IF(consolidado[[#This Row],[Observações]]="","Não","Sim")</f>
        <v>Não</v>
      </c>
      <c r="L50" s="119">
        <v>13</v>
      </c>
    </row>
    <row r="51" spans="1:12" ht="26.4" x14ac:dyDescent="0.3">
      <c r="A51" s="4" t="s">
        <v>865</v>
      </c>
      <c r="B51" s="4" t="s">
        <v>7</v>
      </c>
      <c r="C51" s="5" t="s">
        <v>867</v>
      </c>
      <c r="D51" s="5" t="s">
        <v>87</v>
      </c>
      <c r="E51" s="5" t="str">
        <f t="shared" si="0"/>
        <v>GE13</v>
      </c>
      <c r="F51" s="5" t="s">
        <v>88</v>
      </c>
      <c r="G51" s="101" t="s">
        <v>92</v>
      </c>
      <c r="H51" s="120" t="s">
        <v>18</v>
      </c>
      <c r="I51" s="121">
        <v>8</v>
      </c>
      <c r="J51" s="121"/>
      <c r="K51" s="121" t="str">
        <f>IF(consolidado[[#This Row],[Observações]]="","Não","Sim")</f>
        <v>Não</v>
      </c>
      <c r="L51" s="119">
        <v>13</v>
      </c>
    </row>
    <row r="52" spans="1:12" ht="28.8" x14ac:dyDescent="0.3">
      <c r="A52" s="4" t="s">
        <v>865</v>
      </c>
      <c r="B52" s="4" t="s">
        <v>7</v>
      </c>
      <c r="C52" s="5" t="s">
        <v>867</v>
      </c>
      <c r="D52" s="5" t="s">
        <v>87</v>
      </c>
      <c r="E52" s="5" t="str">
        <f t="shared" si="0"/>
        <v>GE13</v>
      </c>
      <c r="F52" s="5" t="s">
        <v>88</v>
      </c>
      <c r="G52" s="101" t="s">
        <v>93</v>
      </c>
      <c r="H52" s="120" t="s">
        <v>20</v>
      </c>
      <c r="I52" s="121">
        <v>10</v>
      </c>
      <c r="J52" s="121"/>
      <c r="K52" s="121" t="str">
        <f>IF(consolidado[[#This Row],[Observações]]="","Não","Sim")</f>
        <v>Não</v>
      </c>
      <c r="L52" s="119">
        <v>13</v>
      </c>
    </row>
    <row r="53" spans="1:12" ht="28.8" x14ac:dyDescent="0.3">
      <c r="A53" s="4" t="s">
        <v>865</v>
      </c>
      <c r="B53" s="4" t="s">
        <v>7</v>
      </c>
      <c r="C53" s="5" t="s">
        <v>867</v>
      </c>
      <c r="D53" s="5" t="s">
        <v>94</v>
      </c>
      <c r="E53" s="5" t="str">
        <f t="shared" si="0"/>
        <v>GE14</v>
      </c>
      <c r="F53" s="5" t="s">
        <v>95</v>
      </c>
      <c r="G53" s="101" t="s">
        <v>96</v>
      </c>
      <c r="H53" s="120" t="s">
        <v>12</v>
      </c>
      <c r="I53" s="121">
        <v>0</v>
      </c>
      <c r="J53" s="121"/>
      <c r="K53" s="121" t="str">
        <f>IF(consolidado[[#This Row],[Observações]]="","Não","Sim")</f>
        <v>Não</v>
      </c>
      <c r="L53" s="119">
        <v>13</v>
      </c>
    </row>
    <row r="54" spans="1:12" ht="28.8" x14ac:dyDescent="0.3">
      <c r="A54" s="4" t="s">
        <v>865</v>
      </c>
      <c r="B54" s="4" t="s">
        <v>7</v>
      </c>
      <c r="C54" s="5" t="s">
        <v>867</v>
      </c>
      <c r="D54" s="5" t="s">
        <v>94</v>
      </c>
      <c r="E54" s="5" t="str">
        <f t="shared" si="0"/>
        <v>GE14</v>
      </c>
      <c r="F54" s="5" t="s">
        <v>95</v>
      </c>
      <c r="G54" s="101" t="s">
        <v>97</v>
      </c>
      <c r="H54" s="120" t="s">
        <v>16</v>
      </c>
      <c r="I54" s="121">
        <v>6</v>
      </c>
      <c r="J54" s="121"/>
      <c r="K54" s="121" t="str">
        <f>IF(consolidado[[#This Row],[Observações]]="","Não","Sim")</f>
        <v>Não</v>
      </c>
      <c r="L54" s="119">
        <v>13</v>
      </c>
    </row>
    <row r="55" spans="1:12" ht="26.4" x14ac:dyDescent="0.3">
      <c r="A55" s="4" t="s">
        <v>865</v>
      </c>
      <c r="B55" s="4" t="s">
        <v>7</v>
      </c>
      <c r="C55" s="5" t="s">
        <v>867</v>
      </c>
      <c r="D55" s="5" t="s">
        <v>94</v>
      </c>
      <c r="E55" s="5" t="str">
        <f t="shared" si="0"/>
        <v>GE14</v>
      </c>
      <c r="F55" s="5" t="s">
        <v>95</v>
      </c>
      <c r="G55" s="101" t="s">
        <v>98</v>
      </c>
      <c r="H55" s="120" t="s">
        <v>18</v>
      </c>
      <c r="I55" s="121">
        <v>8</v>
      </c>
      <c r="J55" s="121"/>
      <c r="K55" s="121" t="str">
        <f>IF(consolidado[[#This Row],[Observações]]="","Não","Sim")</f>
        <v>Não</v>
      </c>
      <c r="L55" s="119">
        <v>13</v>
      </c>
    </row>
    <row r="56" spans="1:12" ht="26.4" x14ac:dyDescent="0.3">
      <c r="A56" s="4" t="s">
        <v>865</v>
      </c>
      <c r="B56" s="4" t="s">
        <v>7</v>
      </c>
      <c r="C56" s="5" t="s">
        <v>867</v>
      </c>
      <c r="D56" s="5" t="s">
        <v>94</v>
      </c>
      <c r="E56" s="5" t="str">
        <f t="shared" si="0"/>
        <v>GE14</v>
      </c>
      <c r="F56" s="5" t="s">
        <v>95</v>
      </c>
      <c r="G56" s="101" t="s">
        <v>99</v>
      </c>
      <c r="H56" s="120" t="s">
        <v>20</v>
      </c>
      <c r="I56" s="121">
        <v>10</v>
      </c>
      <c r="J56" s="121"/>
      <c r="K56" s="121" t="str">
        <f>IF(consolidado[[#This Row],[Observações]]="","Não","Sim")</f>
        <v>Não</v>
      </c>
      <c r="L56" s="119">
        <v>13</v>
      </c>
    </row>
    <row r="57" spans="1:12" ht="26.4" x14ac:dyDescent="0.3">
      <c r="A57" s="4" t="s">
        <v>865</v>
      </c>
      <c r="B57" s="4" t="s">
        <v>100</v>
      </c>
      <c r="C57" s="5" t="s">
        <v>8</v>
      </c>
      <c r="D57" s="5" t="s">
        <v>101</v>
      </c>
      <c r="E57" s="5" t="str">
        <f t="shared" si="0"/>
        <v>GS01</v>
      </c>
      <c r="F57" s="5" t="s">
        <v>102</v>
      </c>
      <c r="G57" s="101" t="s">
        <v>103</v>
      </c>
      <c r="H57" s="96" t="s">
        <v>12</v>
      </c>
      <c r="I57" s="97">
        <v>0</v>
      </c>
      <c r="J57" s="97"/>
      <c r="K57" s="121" t="str">
        <f>IF(consolidado[[#This Row],[Observações]]="","Não","Sim")</f>
        <v>Não</v>
      </c>
      <c r="L57" s="119">
        <v>16</v>
      </c>
    </row>
    <row r="58" spans="1:12" ht="26.4" x14ac:dyDescent="0.3">
      <c r="A58" s="4" t="s">
        <v>865</v>
      </c>
      <c r="B58" s="4" t="s">
        <v>100</v>
      </c>
      <c r="C58" s="5" t="s">
        <v>8</v>
      </c>
      <c r="D58" s="5" t="s">
        <v>101</v>
      </c>
      <c r="E58" s="5" t="str">
        <f t="shared" si="0"/>
        <v>GS01</v>
      </c>
      <c r="F58" s="5" t="s">
        <v>102</v>
      </c>
      <c r="G58" s="101" t="s">
        <v>104</v>
      </c>
      <c r="H58" s="106" t="s">
        <v>31</v>
      </c>
      <c r="I58" s="107">
        <v>0</v>
      </c>
      <c r="J58" s="107" t="s">
        <v>534</v>
      </c>
      <c r="K58" s="121" t="str">
        <f>IF(consolidado[[#This Row],[Observações]]="","Não","Sim")</f>
        <v>Sim</v>
      </c>
      <c r="L58" s="119">
        <v>16</v>
      </c>
    </row>
    <row r="59" spans="1:12" ht="26.4" x14ac:dyDescent="0.3">
      <c r="A59" s="4" t="s">
        <v>865</v>
      </c>
      <c r="B59" s="4" t="s">
        <v>100</v>
      </c>
      <c r="C59" s="5" t="s">
        <v>8</v>
      </c>
      <c r="D59" s="5" t="s">
        <v>105</v>
      </c>
      <c r="E59" s="5" t="str">
        <f t="shared" si="0"/>
        <v>GS02</v>
      </c>
      <c r="F59" s="5" t="s">
        <v>106</v>
      </c>
      <c r="G59" s="101" t="s">
        <v>107</v>
      </c>
      <c r="H59" s="96" t="s">
        <v>12</v>
      </c>
      <c r="I59" s="97">
        <v>0</v>
      </c>
      <c r="J59" s="97"/>
      <c r="K59" s="121" t="str">
        <f>IF(consolidado[[#This Row],[Observações]]="","Não","Sim")</f>
        <v>Não</v>
      </c>
      <c r="L59" s="119">
        <v>16</v>
      </c>
    </row>
    <row r="60" spans="1:12" ht="26.4" x14ac:dyDescent="0.3">
      <c r="A60" s="4" t="s">
        <v>865</v>
      </c>
      <c r="B60" s="4" t="s">
        <v>100</v>
      </c>
      <c r="C60" s="5" t="s">
        <v>8</v>
      </c>
      <c r="D60" s="5" t="s">
        <v>105</v>
      </c>
      <c r="E60" s="5" t="str">
        <f t="shared" si="0"/>
        <v>GS02</v>
      </c>
      <c r="F60" s="5" t="s">
        <v>106</v>
      </c>
      <c r="G60" s="101" t="s">
        <v>108</v>
      </c>
      <c r="H60" s="106" t="s">
        <v>31</v>
      </c>
      <c r="I60" s="107">
        <v>0</v>
      </c>
      <c r="J60" s="107" t="s">
        <v>534</v>
      </c>
      <c r="K60" s="121" t="str">
        <f>IF(consolidado[[#This Row],[Observações]]="","Não","Sim")</f>
        <v>Sim</v>
      </c>
      <c r="L60" s="119">
        <v>16</v>
      </c>
    </row>
    <row r="61" spans="1:12" x14ac:dyDescent="0.3">
      <c r="A61" s="4" t="s">
        <v>865</v>
      </c>
      <c r="B61" s="4" t="s">
        <v>100</v>
      </c>
      <c r="C61" s="5" t="s">
        <v>8</v>
      </c>
      <c r="D61" s="5" t="s">
        <v>109</v>
      </c>
      <c r="E61" s="5" t="str">
        <f t="shared" si="0"/>
        <v>GS03</v>
      </c>
      <c r="F61" s="5" t="s">
        <v>110</v>
      </c>
      <c r="G61" s="101" t="s">
        <v>111</v>
      </c>
      <c r="H61" s="96" t="s">
        <v>12</v>
      </c>
      <c r="I61" s="97">
        <v>0</v>
      </c>
      <c r="J61" s="97"/>
      <c r="K61" s="121" t="str">
        <f>IF(consolidado[[#This Row],[Observações]]="","Não","Sim")</f>
        <v>Não</v>
      </c>
      <c r="L61" s="119">
        <v>8</v>
      </c>
    </row>
    <row r="62" spans="1:12" x14ac:dyDescent="0.3">
      <c r="A62" s="4" t="s">
        <v>865</v>
      </c>
      <c r="B62" s="4" t="s">
        <v>100</v>
      </c>
      <c r="C62" s="5" t="s">
        <v>8</v>
      </c>
      <c r="D62" s="5" t="s">
        <v>109</v>
      </c>
      <c r="E62" s="5" t="str">
        <f t="shared" si="0"/>
        <v>GS03</v>
      </c>
      <c r="F62" s="5" t="s">
        <v>110</v>
      </c>
      <c r="G62" s="101" t="s">
        <v>112</v>
      </c>
      <c r="H62" s="106" t="s">
        <v>31</v>
      </c>
      <c r="I62" s="107">
        <v>0</v>
      </c>
      <c r="J62" s="107" t="s">
        <v>534</v>
      </c>
      <c r="K62" s="121" t="str">
        <f>IF(consolidado[[#This Row],[Observações]]="","Não","Sim")</f>
        <v>Sim</v>
      </c>
      <c r="L62" s="119">
        <v>8</v>
      </c>
    </row>
    <row r="63" spans="1:12" ht="26.4" x14ac:dyDescent="0.3">
      <c r="A63" s="4" t="s">
        <v>865</v>
      </c>
      <c r="B63" s="4" t="s">
        <v>100</v>
      </c>
      <c r="C63" s="5" t="s">
        <v>8</v>
      </c>
      <c r="D63" s="5" t="s">
        <v>113</v>
      </c>
      <c r="E63" s="5" t="str">
        <f t="shared" si="0"/>
        <v>GS04</v>
      </c>
      <c r="F63" s="5" t="s">
        <v>114</v>
      </c>
      <c r="G63" s="101" t="s">
        <v>115</v>
      </c>
      <c r="H63" s="96" t="s">
        <v>12</v>
      </c>
      <c r="I63" s="97">
        <v>0</v>
      </c>
      <c r="J63" s="97"/>
      <c r="K63" s="121" t="str">
        <f>IF(consolidado[[#This Row],[Observações]]="","Não","Sim")</f>
        <v>Não</v>
      </c>
      <c r="L63" s="119">
        <v>8</v>
      </c>
    </row>
    <row r="64" spans="1:12" ht="26.4" x14ac:dyDescent="0.3">
      <c r="A64" s="4" t="s">
        <v>865</v>
      </c>
      <c r="B64" s="4" t="s">
        <v>100</v>
      </c>
      <c r="C64" s="5" t="s">
        <v>8</v>
      </c>
      <c r="D64" s="5" t="s">
        <v>113</v>
      </c>
      <c r="E64" s="5" t="str">
        <f t="shared" si="0"/>
        <v>GS04</v>
      </c>
      <c r="F64" s="5" t="s">
        <v>114</v>
      </c>
      <c r="G64" s="101" t="s">
        <v>116</v>
      </c>
      <c r="H64" s="106" t="s">
        <v>31</v>
      </c>
      <c r="I64" s="107">
        <v>0</v>
      </c>
      <c r="J64" s="107" t="s">
        <v>534</v>
      </c>
      <c r="K64" s="121" t="str">
        <f>IF(consolidado[[#This Row],[Observações]]="","Não","Sim")</f>
        <v>Sim</v>
      </c>
      <c r="L64" s="119">
        <v>8</v>
      </c>
    </row>
    <row r="65" spans="1:12" ht="26.4" x14ac:dyDescent="0.3">
      <c r="A65" s="4" t="s">
        <v>865</v>
      </c>
      <c r="B65" s="4" t="s">
        <v>100</v>
      </c>
      <c r="C65" s="5" t="s">
        <v>8</v>
      </c>
      <c r="D65" s="5" t="s">
        <v>117</v>
      </c>
      <c r="E65" s="5" t="str">
        <f t="shared" si="0"/>
        <v>GS05</v>
      </c>
      <c r="F65" s="5" t="s">
        <v>118</v>
      </c>
      <c r="G65" s="101" t="s">
        <v>119</v>
      </c>
      <c r="H65" s="96" t="s">
        <v>12</v>
      </c>
      <c r="I65" s="97">
        <v>0</v>
      </c>
      <c r="J65" s="97"/>
      <c r="K65" s="121" t="str">
        <f>IF(consolidado[[#This Row],[Observações]]="","Não","Sim")</f>
        <v>Não</v>
      </c>
      <c r="L65" s="119">
        <v>8</v>
      </c>
    </row>
    <row r="66" spans="1:12" ht="26.4" x14ac:dyDescent="0.3">
      <c r="A66" s="4" t="s">
        <v>865</v>
      </c>
      <c r="B66" s="4" t="s">
        <v>100</v>
      </c>
      <c r="C66" s="5" t="s">
        <v>8</v>
      </c>
      <c r="D66" s="5" t="s">
        <v>117</v>
      </c>
      <c r="E66" s="5" t="str">
        <f t="shared" si="0"/>
        <v>GS05</v>
      </c>
      <c r="F66" s="5" t="s">
        <v>118</v>
      </c>
      <c r="G66" s="101" t="s">
        <v>120</v>
      </c>
      <c r="H66" s="106" t="s">
        <v>31</v>
      </c>
      <c r="I66" s="107">
        <v>0</v>
      </c>
      <c r="J66" s="107" t="s">
        <v>534</v>
      </c>
      <c r="K66" s="121" t="str">
        <f>IF(consolidado[[#This Row],[Observações]]="","Não","Sim")</f>
        <v>Sim</v>
      </c>
      <c r="L66" s="119">
        <v>8</v>
      </c>
    </row>
    <row r="67" spans="1:12" ht="26.4" x14ac:dyDescent="0.3">
      <c r="A67" s="4" t="s">
        <v>865</v>
      </c>
      <c r="B67" s="4" t="s">
        <v>100</v>
      </c>
      <c r="C67" s="5" t="s">
        <v>8</v>
      </c>
      <c r="D67" s="5" t="s">
        <v>121</v>
      </c>
      <c r="E67" s="5" t="str">
        <f t="shared" ref="E67:E130" si="1">SUBSTITUTE(D67," ","")</f>
        <v>GS06</v>
      </c>
      <c r="F67" s="5" t="s">
        <v>122</v>
      </c>
      <c r="G67" s="101" t="s">
        <v>123</v>
      </c>
      <c r="H67" s="96" t="s">
        <v>12</v>
      </c>
      <c r="I67" s="97">
        <v>0</v>
      </c>
      <c r="J67" s="97"/>
      <c r="K67" s="121" t="str">
        <f>IF(consolidado[[#This Row],[Observações]]="","Não","Sim")</f>
        <v>Não</v>
      </c>
      <c r="L67" s="119">
        <v>8</v>
      </c>
    </row>
    <row r="68" spans="1:12" ht="26.4" x14ac:dyDescent="0.3">
      <c r="A68" s="4" t="s">
        <v>865</v>
      </c>
      <c r="B68" s="4" t="s">
        <v>100</v>
      </c>
      <c r="C68" s="5" t="s">
        <v>8</v>
      </c>
      <c r="D68" s="5" t="s">
        <v>121</v>
      </c>
      <c r="E68" s="5" t="str">
        <f t="shared" si="1"/>
        <v>GS06</v>
      </c>
      <c r="F68" s="5" t="s">
        <v>122</v>
      </c>
      <c r="G68" s="101" t="s">
        <v>124</v>
      </c>
      <c r="H68" s="106" t="s">
        <v>31</v>
      </c>
      <c r="I68" s="107">
        <v>0</v>
      </c>
      <c r="J68" s="107" t="s">
        <v>534</v>
      </c>
      <c r="K68" s="121" t="str">
        <f>IF(consolidado[[#This Row],[Observações]]="","Não","Sim")</f>
        <v>Sim</v>
      </c>
      <c r="L68" s="119">
        <v>8</v>
      </c>
    </row>
    <row r="69" spans="1:12" ht="26.4" x14ac:dyDescent="0.3">
      <c r="A69" s="4" t="s">
        <v>865</v>
      </c>
      <c r="B69" s="4" t="s">
        <v>100</v>
      </c>
      <c r="C69" s="5" t="s">
        <v>8</v>
      </c>
      <c r="D69" s="5" t="s">
        <v>125</v>
      </c>
      <c r="E69" s="5" t="str">
        <f t="shared" si="1"/>
        <v>GS07</v>
      </c>
      <c r="F69" s="5" t="s">
        <v>126</v>
      </c>
      <c r="G69" s="101" t="s">
        <v>127</v>
      </c>
      <c r="H69" s="96" t="s">
        <v>12</v>
      </c>
      <c r="I69" s="97">
        <v>0</v>
      </c>
      <c r="J69" s="97"/>
      <c r="K69" s="121" t="str">
        <f>IF(consolidado[[#This Row],[Observações]]="","Não","Sim")</f>
        <v>Não</v>
      </c>
      <c r="L69" s="119" t="s">
        <v>602</v>
      </c>
    </row>
    <row r="70" spans="1:12" ht="26.4" x14ac:dyDescent="0.3">
      <c r="A70" s="4" t="s">
        <v>865</v>
      </c>
      <c r="B70" s="4" t="s">
        <v>100</v>
      </c>
      <c r="C70" s="5" t="s">
        <v>8</v>
      </c>
      <c r="D70" s="5" t="s">
        <v>125</v>
      </c>
      <c r="E70" s="5" t="str">
        <f t="shared" si="1"/>
        <v>GS07</v>
      </c>
      <c r="F70" s="5" t="s">
        <v>126</v>
      </c>
      <c r="G70" s="101" t="s">
        <v>128</v>
      </c>
      <c r="H70" s="106" t="s">
        <v>31</v>
      </c>
      <c r="I70" s="107">
        <v>0</v>
      </c>
      <c r="J70" s="107" t="s">
        <v>534</v>
      </c>
      <c r="K70" s="121" t="str">
        <f>IF(consolidado[[#This Row],[Observações]]="","Não","Sim")</f>
        <v>Sim</v>
      </c>
      <c r="L70" s="119" t="s">
        <v>602</v>
      </c>
    </row>
    <row r="71" spans="1:12" ht="28.8" x14ac:dyDescent="0.3">
      <c r="A71" s="4" t="s">
        <v>865</v>
      </c>
      <c r="B71" s="4" t="s">
        <v>100</v>
      </c>
      <c r="C71" s="8" t="s">
        <v>868</v>
      </c>
      <c r="D71" s="5" t="s">
        <v>129</v>
      </c>
      <c r="E71" s="5" t="str">
        <f t="shared" si="1"/>
        <v>GS08</v>
      </c>
      <c r="F71" s="5" t="s">
        <v>130</v>
      </c>
      <c r="G71" s="101" t="s">
        <v>131</v>
      </c>
      <c r="H71" s="96" t="s">
        <v>12</v>
      </c>
      <c r="I71" s="97">
        <v>0</v>
      </c>
      <c r="J71" s="97"/>
      <c r="K71" s="121" t="str">
        <f>IF(consolidado[[#This Row],[Observações]]="","Não","Sim")</f>
        <v>Não</v>
      </c>
      <c r="L71" s="119">
        <v>8</v>
      </c>
    </row>
    <row r="72" spans="1:12" ht="28.8" x14ac:dyDescent="0.3">
      <c r="A72" s="4" t="s">
        <v>865</v>
      </c>
      <c r="B72" s="4" t="s">
        <v>100</v>
      </c>
      <c r="C72" s="8" t="s">
        <v>868</v>
      </c>
      <c r="D72" s="5" t="s">
        <v>129</v>
      </c>
      <c r="E72" s="5" t="str">
        <f t="shared" si="1"/>
        <v>GS08</v>
      </c>
      <c r="F72" s="5" t="s">
        <v>130</v>
      </c>
      <c r="G72" s="101" t="s">
        <v>132</v>
      </c>
      <c r="H72" s="106" t="s">
        <v>14</v>
      </c>
      <c r="I72" s="107">
        <v>0</v>
      </c>
      <c r="J72" s="107" t="s">
        <v>534</v>
      </c>
      <c r="K72" s="121" t="str">
        <f>IF(consolidado[[#This Row],[Observações]]="","Não","Sim")</f>
        <v>Sim</v>
      </c>
      <c r="L72" s="119">
        <v>8</v>
      </c>
    </row>
    <row r="73" spans="1:12" ht="28.8" x14ac:dyDescent="0.3">
      <c r="A73" s="4" t="s">
        <v>865</v>
      </c>
      <c r="B73" s="4" t="s">
        <v>100</v>
      </c>
      <c r="C73" s="8" t="s">
        <v>868</v>
      </c>
      <c r="D73" s="5" t="s">
        <v>129</v>
      </c>
      <c r="E73" s="5" t="str">
        <f t="shared" si="1"/>
        <v>GS08</v>
      </c>
      <c r="F73" s="5" t="s">
        <v>130</v>
      </c>
      <c r="G73" s="101" t="s">
        <v>133</v>
      </c>
      <c r="H73" s="96" t="s">
        <v>16</v>
      </c>
      <c r="I73" s="97">
        <v>6</v>
      </c>
      <c r="J73" s="97"/>
      <c r="K73" s="121" t="str">
        <f>IF(consolidado[[#This Row],[Observações]]="","Não","Sim")</f>
        <v>Não</v>
      </c>
      <c r="L73" s="119">
        <v>8</v>
      </c>
    </row>
    <row r="74" spans="1:12" ht="28.8" x14ac:dyDescent="0.3">
      <c r="A74" s="4" t="s">
        <v>865</v>
      </c>
      <c r="B74" s="4" t="s">
        <v>100</v>
      </c>
      <c r="C74" s="8" t="s">
        <v>868</v>
      </c>
      <c r="D74" s="5" t="s">
        <v>129</v>
      </c>
      <c r="E74" s="5" t="str">
        <f t="shared" si="1"/>
        <v>GS08</v>
      </c>
      <c r="F74" s="5" t="s">
        <v>130</v>
      </c>
      <c r="G74" s="101" t="s">
        <v>134</v>
      </c>
      <c r="H74" s="96" t="s">
        <v>18</v>
      </c>
      <c r="I74" s="97">
        <v>8</v>
      </c>
      <c r="J74" s="97"/>
      <c r="K74" s="121" t="str">
        <f>IF(consolidado[[#This Row],[Observações]]="","Não","Sim")</f>
        <v>Não</v>
      </c>
      <c r="L74" s="119">
        <v>8</v>
      </c>
    </row>
    <row r="75" spans="1:12" ht="28.8" x14ac:dyDescent="0.3">
      <c r="A75" s="4" t="s">
        <v>865</v>
      </c>
      <c r="B75" s="4" t="s">
        <v>100</v>
      </c>
      <c r="C75" s="8" t="s">
        <v>868</v>
      </c>
      <c r="D75" s="5" t="s">
        <v>129</v>
      </c>
      <c r="E75" s="5" t="str">
        <f t="shared" si="1"/>
        <v>GS08</v>
      </c>
      <c r="F75" s="5" t="s">
        <v>130</v>
      </c>
      <c r="G75" s="101" t="s">
        <v>135</v>
      </c>
      <c r="H75" s="96" t="s">
        <v>20</v>
      </c>
      <c r="I75" s="97">
        <v>10</v>
      </c>
      <c r="J75" s="97"/>
      <c r="K75" s="121" t="str">
        <f>IF(consolidado[[#This Row],[Observações]]="","Não","Sim")</f>
        <v>Não</v>
      </c>
      <c r="L75" s="119">
        <v>8</v>
      </c>
    </row>
    <row r="76" spans="1:12" ht="28.8" x14ac:dyDescent="0.3">
      <c r="A76" s="4" t="s">
        <v>865</v>
      </c>
      <c r="B76" s="4" t="s">
        <v>100</v>
      </c>
      <c r="C76" s="8" t="s">
        <v>868</v>
      </c>
      <c r="D76" s="5" t="s">
        <v>136</v>
      </c>
      <c r="E76" s="5" t="str">
        <f t="shared" si="1"/>
        <v>GS09</v>
      </c>
      <c r="F76" s="5" t="s">
        <v>137</v>
      </c>
      <c r="G76" s="101" t="s">
        <v>138</v>
      </c>
      <c r="H76" s="96" t="s">
        <v>12</v>
      </c>
      <c r="I76" s="97">
        <v>0</v>
      </c>
      <c r="J76" s="97"/>
      <c r="K76" s="121" t="str">
        <f>IF(consolidado[[#This Row],[Observações]]="","Não","Sim")</f>
        <v>Não</v>
      </c>
      <c r="L76" s="119">
        <v>8</v>
      </c>
    </row>
    <row r="77" spans="1:12" ht="28.8" x14ac:dyDescent="0.3">
      <c r="A77" s="4" t="s">
        <v>865</v>
      </c>
      <c r="B77" s="4" t="s">
        <v>100</v>
      </c>
      <c r="C77" s="8" t="s">
        <v>868</v>
      </c>
      <c r="D77" s="5" t="s">
        <v>136</v>
      </c>
      <c r="E77" s="5" t="str">
        <f t="shared" si="1"/>
        <v>GS09</v>
      </c>
      <c r="F77" s="5" t="s">
        <v>137</v>
      </c>
      <c r="G77" s="101" t="s">
        <v>139</v>
      </c>
      <c r="H77" s="106" t="s">
        <v>31</v>
      </c>
      <c r="I77" s="107">
        <v>0</v>
      </c>
      <c r="J77" s="107" t="s">
        <v>534</v>
      </c>
      <c r="K77" s="121" t="str">
        <f>IF(consolidado[[#This Row],[Observações]]="","Não","Sim")</f>
        <v>Sim</v>
      </c>
      <c r="L77" s="119">
        <v>8</v>
      </c>
    </row>
    <row r="78" spans="1:12" ht="28.8" x14ac:dyDescent="0.3">
      <c r="A78" s="4" t="s">
        <v>865</v>
      </c>
      <c r="B78" s="4" t="s">
        <v>100</v>
      </c>
      <c r="C78" s="8" t="s">
        <v>868</v>
      </c>
      <c r="D78" s="5" t="s">
        <v>140</v>
      </c>
      <c r="E78" s="5" t="str">
        <f t="shared" si="1"/>
        <v>GS10</v>
      </c>
      <c r="F78" s="5" t="s">
        <v>141</v>
      </c>
      <c r="G78" s="101" t="s">
        <v>142</v>
      </c>
      <c r="H78" s="96" t="s">
        <v>12</v>
      </c>
      <c r="I78" s="97">
        <v>0</v>
      </c>
      <c r="J78" s="97"/>
      <c r="K78" s="121" t="str">
        <f>IF(consolidado[[#This Row],[Observações]]="","Não","Sim")</f>
        <v>Não</v>
      </c>
      <c r="L78" s="119">
        <v>8</v>
      </c>
    </row>
    <row r="79" spans="1:12" ht="28.8" x14ac:dyDescent="0.3">
      <c r="A79" s="4" t="s">
        <v>865</v>
      </c>
      <c r="B79" s="4" t="s">
        <v>100</v>
      </c>
      <c r="C79" s="8" t="s">
        <v>868</v>
      </c>
      <c r="D79" s="5" t="s">
        <v>140</v>
      </c>
      <c r="E79" s="5" t="str">
        <f t="shared" si="1"/>
        <v>GS10</v>
      </c>
      <c r="F79" s="5" t="s">
        <v>141</v>
      </c>
      <c r="G79" s="101" t="s">
        <v>143</v>
      </c>
      <c r="H79" s="106" t="s">
        <v>16</v>
      </c>
      <c r="I79" s="107">
        <v>0</v>
      </c>
      <c r="J79" s="107" t="s">
        <v>534</v>
      </c>
      <c r="K79" s="121" t="str">
        <f>IF(consolidado[[#This Row],[Observações]]="","Não","Sim")</f>
        <v>Sim</v>
      </c>
      <c r="L79" s="119">
        <v>8</v>
      </c>
    </row>
    <row r="80" spans="1:12" ht="28.8" x14ac:dyDescent="0.3">
      <c r="A80" s="4" t="s">
        <v>865</v>
      </c>
      <c r="B80" s="4" t="s">
        <v>100</v>
      </c>
      <c r="C80" s="8" t="s">
        <v>868</v>
      </c>
      <c r="D80" s="5" t="s">
        <v>140</v>
      </c>
      <c r="E80" s="5" t="str">
        <f t="shared" si="1"/>
        <v>GS10</v>
      </c>
      <c r="F80" s="5" t="s">
        <v>141</v>
      </c>
      <c r="G80" s="101" t="s">
        <v>144</v>
      </c>
      <c r="H80" s="96" t="s">
        <v>18</v>
      </c>
      <c r="I80" s="97">
        <v>8</v>
      </c>
      <c r="J80" s="97"/>
      <c r="K80" s="121" t="str">
        <f>IF(consolidado[[#This Row],[Observações]]="","Não","Sim")</f>
        <v>Não</v>
      </c>
      <c r="L80" s="119">
        <v>8</v>
      </c>
    </row>
    <row r="81" spans="1:12" ht="28.8" x14ac:dyDescent="0.3">
      <c r="A81" s="4" t="s">
        <v>865</v>
      </c>
      <c r="B81" s="4" t="s">
        <v>100</v>
      </c>
      <c r="C81" s="8" t="s">
        <v>868</v>
      </c>
      <c r="D81" s="5" t="s">
        <v>140</v>
      </c>
      <c r="E81" s="5" t="str">
        <f t="shared" si="1"/>
        <v>GS10</v>
      </c>
      <c r="F81" s="5" t="s">
        <v>141</v>
      </c>
      <c r="G81" s="101" t="s">
        <v>145</v>
      </c>
      <c r="H81" s="96" t="s">
        <v>20</v>
      </c>
      <c r="I81" s="97">
        <v>10</v>
      </c>
      <c r="J81" s="97"/>
      <c r="K81" s="121" t="str">
        <f>IF(consolidado[[#This Row],[Observações]]="","Não","Sim")</f>
        <v>Não</v>
      </c>
      <c r="L81" s="119">
        <v>8</v>
      </c>
    </row>
    <row r="82" spans="1:12" ht="28.8" x14ac:dyDescent="0.3">
      <c r="A82" s="4" t="s">
        <v>865</v>
      </c>
      <c r="B82" s="4" t="s">
        <v>100</v>
      </c>
      <c r="C82" s="8" t="s">
        <v>868</v>
      </c>
      <c r="D82" s="5" t="s">
        <v>146</v>
      </c>
      <c r="E82" s="5" t="str">
        <f t="shared" si="1"/>
        <v>GS11</v>
      </c>
      <c r="F82" s="5" t="s">
        <v>147</v>
      </c>
      <c r="G82" s="101" t="s">
        <v>148</v>
      </c>
      <c r="H82" s="96" t="s">
        <v>12</v>
      </c>
      <c r="I82" s="97">
        <v>0</v>
      </c>
      <c r="J82" s="97"/>
      <c r="K82" s="121" t="str">
        <f>IF(consolidado[[#This Row],[Observações]]="","Não","Sim")</f>
        <v>Não</v>
      </c>
      <c r="L82" s="119">
        <v>8</v>
      </c>
    </row>
    <row r="83" spans="1:12" ht="28.8" x14ac:dyDescent="0.3">
      <c r="A83" s="4" t="s">
        <v>865</v>
      </c>
      <c r="B83" s="4" t="s">
        <v>100</v>
      </c>
      <c r="C83" s="8" t="s">
        <v>868</v>
      </c>
      <c r="D83" s="5" t="s">
        <v>146</v>
      </c>
      <c r="E83" s="5" t="str">
        <f t="shared" si="1"/>
        <v>GS11</v>
      </c>
      <c r="F83" s="5" t="s">
        <v>147</v>
      </c>
      <c r="G83" s="101" t="s">
        <v>149</v>
      </c>
      <c r="H83" s="96" t="s">
        <v>16</v>
      </c>
      <c r="I83" s="97">
        <v>6</v>
      </c>
      <c r="J83" s="97"/>
      <c r="K83" s="121" t="str">
        <f>IF(consolidado[[#This Row],[Observações]]="","Não","Sim")</f>
        <v>Não</v>
      </c>
      <c r="L83" s="119">
        <v>8</v>
      </c>
    </row>
    <row r="84" spans="1:12" ht="43.2" x14ac:dyDescent="0.3">
      <c r="A84" s="4" t="s">
        <v>865</v>
      </c>
      <c r="B84" s="4" t="s">
        <v>100</v>
      </c>
      <c r="C84" s="8" t="s">
        <v>868</v>
      </c>
      <c r="D84" s="5" t="s">
        <v>146</v>
      </c>
      <c r="E84" s="5" t="str">
        <f t="shared" si="1"/>
        <v>GS11</v>
      </c>
      <c r="F84" s="5" t="s">
        <v>147</v>
      </c>
      <c r="G84" s="101" t="s">
        <v>150</v>
      </c>
      <c r="H84" s="96" t="s">
        <v>18</v>
      </c>
      <c r="I84" s="97">
        <v>8</v>
      </c>
      <c r="J84" s="97"/>
      <c r="K84" s="121" t="str">
        <f>IF(consolidado[[#This Row],[Observações]]="","Não","Sim")</f>
        <v>Não</v>
      </c>
      <c r="L84" s="119">
        <v>8</v>
      </c>
    </row>
    <row r="85" spans="1:12" ht="28.8" x14ac:dyDescent="0.3">
      <c r="A85" s="4" t="s">
        <v>865</v>
      </c>
      <c r="B85" s="4" t="s">
        <v>100</v>
      </c>
      <c r="C85" s="8" t="s">
        <v>868</v>
      </c>
      <c r="D85" s="5" t="s">
        <v>146</v>
      </c>
      <c r="E85" s="5" t="str">
        <f t="shared" si="1"/>
        <v>GS11</v>
      </c>
      <c r="F85" s="5" t="s">
        <v>147</v>
      </c>
      <c r="G85" s="101" t="s">
        <v>151</v>
      </c>
      <c r="H85" s="96" t="s">
        <v>20</v>
      </c>
      <c r="I85" s="97">
        <v>10</v>
      </c>
      <c r="J85" s="97"/>
      <c r="K85" s="121" t="str">
        <f>IF(consolidado[[#This Row],[Observações]]="","Não","Sim")</f>
        <v>Não</v>
      </c>
      <c r="L85" s="119">
        <v>8</v>
      </c>
    </row>
    <row r="86" spans="1:12" ht="26.4" x14ac:dyDescent="0.3">
      <c r="A86" s="4" t="s">
        <v>865</v>
      </c>
      <c r="B86" s="4" t="s">
        <v>100</v>
      </c>
      <c r="C86" s="5" t="s">
        <v>152</v>
      </c>
      <c r="D86" s="5" t="s">
        <v>153</v>
      </c>
      <c r="E86" s="5" t="str">
        <f t="shared" si="1"/>
        <v>GS12</v>
      </c>
      <c r="F86" s="5" t="s">
        <v>154</v>
      </c>
      <c r="G86" s="101" t="s">
        <v>155</v>
      </c>
      <c r="H86" s="96" t="s">
        <v>12</v>
      </c>
      <c r="I86" s="97">
        <v>0</v>
      </c>
      <c r="J86" s="97"/>
      <c r="K86" s="121" t="str">
        <f>IF(consolidado[[#This Row],[Observações]]="","Não","Sim")</f>
        <v>Não</v>
      </c>
      <c r="L86" s="119">
        <v>8</v>
      </c>
    </row>
    <row r="87" spans="1:12" ht="26.4" x14ac:dyDescent="0.3">
      <c r="A87" s="4" t="s">
        <v>865</v>
      </c>
      <c r="B87" s="4" t="s">
        <v>100</v>
      </c>
      <c r="C87" s="5" t="s">
        <v>152</v>
      </c>
      <c r="D87" s="5" t="s">
        <v>153</v>
      </c>
      <c r="E87" s="5" t="str">
        <f t="shared" si="1"/>
        <v>GS12</v>
      </c>
      <c r="F87" s="5" t="s">
        <v>154</v>
      </c>
      <c r="G87" s="101" t="s">
        <v>156</v>
      </c>
      <c r="H87" s="106" t="s">
        <v>18</v>
      </c>
      <c r="I87" s="107">
        <v>0</v>
      </c>
      <c r="J87" s="107" t="s">
        <v>534</v>
      </c>
      <c r="K87" s="121" t="str">
        <f>IF(consolidado[[#This Row],[Observações]]="","Não","Sim")</f>
        <v>Sim</v>
      </c>
      <c r="L87" s="119">
        <v>8</v>
      </c>
    </row>
    <row r="88" spans="1:12" ht="28.8" x14ac:dyDescent="0.3">
      <c r="A88" s="4" t="s">
        <v>865</v>
      </c>
      <c r="B88" s="4" t="s">
        <v>100</v>
      </c>
      <c r="C88" s="5" t="s">
        <v>152</v>
      </c>
      <c r="D88" s="5" t="s">
        <v>153</v>
      </c>
      <c r="E88" s="5" t="str">
        <f t="shared" si="1"/>
        <v>GS12</v>
      </c>
      <c r="F88" s="5" t="s">
        <v>154</v>
      </c>
      <c r="G88" s="101" t="s">
        <v>157</v>
      </c>
      <c r="H88" s="96" t="s">
        <v>20</v>
      </c>
      <c r="I88" s="97">
        <v>10</v>
      </c>
      <c r="J88" s="97"/>
      <c r="K88" s="121" t="str">
        <f>IF(consolidado[[#This Row],[Observações]]="","Não","Sim")</f>
        <v>Não</v>
      </c>
      <c r="L88" s="119">
        <v>8</v>
      </c>
    </row>
    <row r="89" spans="1:12" ht="28.8" x14ac:dyDescent="0.3">
      <c r="A89" s="4" t="s">
        <v>865</v>
      </c>
      <c r="B89" s="4" t="s">
        <v>100</v>
      </c>
      <c r="C89" s="5" t="s">
        <v>152</v>
      </c>
      <c r="D89" s="5" t="s">
        <v>158</v>
      </c>
      <c r="E89" s="5" t="str">
        <f t="shared" si="1"/>
        <v>GS13</v>
      </c>
      <c r="F89" s="5" t="s">
        <v>159</v>
      </c>
      <c r="G89" s="101" t="s">
        <v>160</v>
      </c>
      <c r="H89" s="96" t="s">
        <v>12</v>
      </c>
      <c r="I89" s="97">
        <v>0</v>
      </c>
      <c r="J89" s="97"/>
      <c r="K89" s="121" t="str">
        <f>IF(consolidado[[#This Row],[Observações]]="","Não","Sim")</f>
        <v>Não</v>
      </c>
      <c r="L89" s="119">
        <v>8</v>
      </c>
    </row>
    <row r="90" spans="1:12" ht="28.8" x14ac:dyDescent="0.3">
      <c r="A90" s="4" t="s">
        <v>865</v>
      </c>
      <c r="B90" s="4" t="s">
        <v>100</v>
      </c>
      <c r="C90" s="5" t="s">
        <v>152</v>
      </c>
      <c r="D90" s="5" t="s">
        <v>158</v>
      </c>
      <c r="E90" s="5" t="str">
        <f t="shared" si="1"/>
        <v>GS13</v>
      </c>
      <c r="F90" s="5" t="s">
        <v>159</v>
      </c>
      <c r="G90" s="101" t="s">
        <v>161</v>
      </c>
      <c r="H90" s="96" t="s">
        <v>16</v>
      </c>
      <c r="I90" s="97">
        <v>6</v>
      </c>
      <c r="J90" s="97"/>
      <c r="K90" s="121" t="str">
        <f>IF(consolidado[[#This Row],[Observações]]="","Não","Sim")</f>
        <v>Não</v>
      </c>
      <c r="L90" s="119">
        <v>8</v>
      </c>
    </row>
    <row r="91" spans="1:12" ht="28.8" x14ac:dyDescent="0.3">
      <c r="A91" s="4" t="s">
        <v>865</v>
      </c>
      <c r="B91" s="4" t="s">
        <v>100</v>
      </c>
      <c r="C91" s="5" t="s">
        <v>152</v>
      </c>
      <c r="D91" s="5" t="s">
        <v>158</v>
      </c>
      <c r="E91" s="5" t="str">
        <f t="shared" si="1"/>
        <v>GS13</v>
      </c>
      <c r="F91" s="5" t="s">
        <v>159</v>
      </c>
      <c r="G91" s="101" t="s">
        <v>162</v>
      </c>
      <c r="H91" s="96" t="s">
        <v>18</v>
      </c>
      <c r="I91" s="97">
        <v>8</v>
      </c>
      <c r="J91" s="97"/>
      <c r="K91" s="121" t="str">
        <f>IF(consolidado[[#This Row],[Observações]]="","Não","Sim")</f>
        <v>Não</v>
      </c>
      <c r="L91" s="119">
        <v>8</v>
      </c>
    </row>
    <row r="92" spans="1:12" ht="28.8" x14ac:dyDescent="0.3">
      <c r="A92" s="4" t="s">
        <v>865</v>
      </c>
      <c r="B92" s="4" t="s">
        <v>100</v>
      </c>
      <c r="C92" s="5" t="s">
        <v>152</v>
      </c>
      <c r="D92" s="5" t="s">
        <v>158</v>
      </c>
      <c r="E92" s="5" t="str">
        <f t="shared" si="1"/>
        <v>GS13</v>
      </c>
      <c r="F92" s="5" t="s">
        <v>159</v>
      </c>
      <c r="G92" s="101" t="s">
        <v>163</v>
      </c>
      <c r="H92" s="96" t="s">
        <v>20</v>
      </c>
      <c r="I92" s="97">
        <v>10</v>
      </c>
      <c r="J92" s="97"/>
      <c r="K92" s="121" t="str">
        <f>IF(consolidado[[#This Row],[Observações]]="","Não","Sim")</f>
        <v>Não</v>
      </c>
      <c r="L92" s="119">
        <v>8</v>
      </c>
    </row>
    <row r="93" spans="1:12" ht="28.8" x14ac:dyDescent="0.3">
      <c r="A93" s="4" t="s">
        <v>865</v>
      </c>
      <c r="B93" s="4" t="s">
        <v>100</v>
      </c>
      <c r="C93" s="5" t="s">
        <v>152</v>
      </c>
      <c r="D93" s="5" t="s">
        <v>164</v>
      </c>
      <c r="E93" s="5" t="str">
        <f t="shared" si="1"/>
        <v>GS14</v>
      </c>
      <c r="F93" s="5" t="s">
        <v>165</v>
      </c>
      <c r="G93" s="101" t="s">
        <v>166</v>
      </c>
      <c r="H93" s="96" t="s">
        <v>12</v>
      </c>
      <c r="I93" s="97">
        <v>0</v>
      </c>
      <c r="J93" s="97"/>
      <c r="K93" s="121" t="str">
        <f>IF(consolidado[[#This Row],[Observações]]="","Não","Sim")</f>
        <v>Não</v>
      </c>
      <c r="L93" s="119">
        <v>8</v>
      </c>
    </row>
    <row r="94" spans="1:12" ht="28.8" x14ac:dyDescent="0.3">
      <c r="A94" s="4" t="s">
        <v>865</v>
      </c>
      <c r="B94" s="4" t="s">
        <v>100</v>
      </c>
      <c r="C94" s="5" t="s">
        <v>152</v>
      </c>
      <c r="D94" s="5" t="s">
        <v>164</v>
      </c>
      <c r="E94" s="5" t="str">
        <f t="shared" si="1"/>
        <v>GS14</v>
      </c>
      <c r="F94" s="5" t="s">
        <v>165</v>
      </c>
      <c r="G94" s="101" t="s">
        <v>167</v>
      </c>
      <c r="H94" s="106" t="s">
        <v>18</v>
      </c>
      <c r="I94" s="107">
        <v>0</v>
      </c>
      <c r="J94" s="107" t="s">
        <v>534</v>
      </c>
      <c r="K94" s="121" t="str">
        <f>IF(consolidado[[#This Row],[Observações]]="","Não","Sim")</f>
        <v>Sim</v>
      </c>
      <c r="L94" s="119">
        <v>8</v>
      </c>
    </row>
    <row r="95" spans="1:12" ht="26.4" x14ac:dyDescent="0.3">
      <c r="A95" s="4" t="s">
        <v>865</v>
      </c>
      <c r="B95" s="4" t="s">
        <v>100</v>
      </c>
      <c r="C95" s="5" t="s">
        <v>152</v>
      </c>
      <c r="D95" s="5" t="s">
        <v>164</v>
      </c>
      <c r="E95" s="5" t="str">
        <f t="shared" si="1"/>
        <v>GS14</v>
      </c>
      <c r="F95" s="5" t="s">
        <v>165</v>
      </c>
      <c r="G95" s="101" t="s">
        <v>168</v>
      </c>
      <c r="H95" s="96" t="s">
        <v>20</v>
      </c>
      <c r="I95" s="97">
        <v>10</v>
      </c>
      <c r="J95" s="97"/>
      <c r="K95" s="121" t="str">
        <f>IF(consolidado[[#This Row],[Observações]]="","Não","Sim")</f>
        <v>Não</v>
      </c>
      <c r="L95" s="119">
        <v>8</v>
      </c>
    </row>
    <row r="96" spans="1:12" ht="28.8" x14ac:dyDescent="0.3">
      <c r="A96" s="4" t="s">
        <v>865</v>
      </c>
      <c r="B96" s="4" t="s">
        <v>100</v>
      </c>
      <c r="C96" s="5" t="s">
        <v>869</v>
      </c>
      <c r="D96" s="5" t="s">
        <v>169</v>
      </c>
      <c r="E96" s="5" t="str">
        <f t="shared" si="1"/>
        <v>GS15</v>
      </c>
      <c r="F96" s="5" t="s">
        <v>170</v>
      </c>
      <c r="G96" s="101" t="s">
        <v>171</v>
      </c>
      <c r="H96" s="96" t="s">
        <v>12</v>
      </c>
      <c r="I96" s="97">
        <v>0</v>
      </c>
      <c r="J96" s="97"/>
      <c r="K96" s="121" t="str">
        <f>IF(consolidado[[#This Row],[Observações]]="","Não","Sim")</f>
        <v>Não</v>
      </c>
      <c r="L96" s="119">
        <v>10</v>
      </c>
    </row>
    <row r="97" spans="1:12" ht="28.8" x14ac:dyDescent="0.3">
      <c r="A97" s="4" t="s">
        <v>865</v>
      </c>
      <c r="B97" s="4" t="s">
        <v>100</v>
      </c>
      <c r="C97" s="5" t="s">
        <v>869</v>
      </c>
      <c r="D97" s="5" t="s">
        <v>169</v>
      </c>
      <c r="E97" s="5" t="str">
        <f t="shared" si="1"/>
        <v>GS15</v>
      </c>
      <c r="F97" s="5" t="s">
        <v>170</v>
      </c>
      <c r="G97" s="101" t="s">
        <v>172</v>
      </c>
      <c r="H97" s="106" t="s">
        <v>14</v>
      </c>
      <c r="I97" s="107">
        <v>0</v>
      </c>
      <c r="J97" s="107" t="s">
        <v>534</v>
      </c>
      <c r="K97" s="121" t="str">
        <f>IF(consolidado[[#This Row],[Observações]]="","Não","Sim")</f>
        <v>Sim</v>
      </c>
      <c r="L97" s="119">
        <v>10</v>
      </c>
    </row>
    <row r="98" spans="1:12" ht="28.8" x14ac:dyDescent="0.3">
      <c r="A98" s="4" t="s">
        <v>865</v>
      </c>
      <c r="B98" s="4" t="s">
        <v>100</v>
      </c>
      <c r="C98" s="5" t="s">
        <v>869</v>
      </c>
      <c r="D98" s="5" t="s">
        <v>169</v>
      </c>
      <c r="E98" s="5" t="str">
        <f t="shared" si="1"/>
        <v>GS15</v>
      </c>
      <c r="F98" s="5" t="s">
        <v>170</v>
      </c>
      <c r="G98" s="101" t="s">
        <v>173</v>
      </c>
      <c r="H98" s="105" t="s">
        <v>16</v>
      </c>
      <c r="I98" s="97">
        <v>6</v>
      </c>
      <c r="J98" s="97"/>
      <c r="K98" s="121" t="str">
        <f>IF(consolidado[[#This Row],[Observações]]="","Não","Sim")</f>
        <v>Não</v>
      </c>
      <c r="L98" s="119">
        <v>10</v>
      </c>
    </row>
    <row r="99" spans="1:12" ht="28.8" x14ac:dyDescent="0.3">
      <c r="A99" s="4" t="s">
        <v>865</v>
      </c>
      <c r="B99" s="4" t="s">
        <v>100</v>
      </c>
      <c r="C99" s="5" t="s">
        <v>869</v>
      </c>
      <c r="D99" s="5" t="s">
        <v>169</v>
      </c>
      <c r="E99" s="5" t="str">
        <f t="shared" si="1"/>
        <v>GS15</v>
      </c>
      <c r="F99" s="5" t="s">
        <v>170</v>
      </c>
      <c r="G99" s="101" t="s">
        <v>174</v>
      </c>
      <c r="H99" s="96" t="s">
        <v>18</v>
      </c>
      <c r="I99" s="97">
        <v>8</v>
      </c>
      <c r="J99" s="97"/>
      <c r="K99" s="121" t="str">
        <f>IF(consolidado[[#This Row],[Observações]]="","Não","Sim")</f>
        <v>Não</v>
      </c>
      <c r="L99" s="119">
        <v>10</v>
      </c>
    </row>
    <row r="100" spans="1:12" ht="28.8" x14ac:dyDescent="0.3">
      <c r="A100" s="4" t="s">
        <v>865</v>
      </c>
      <c r="B100" s="4" t="s">
        <v>100</v>
      </c>
      <c r="C100" s="5" t="s">
        <v>869</v>
      </c>
      <c r="D100" s="5" t="s">
        <v>169</v>
      </c>
      <c r="E100" s="5" t="str">
        <f t="shared" si="1"/>
        <v>GS15</v>
      </c>
      <c r="F100" s="5" t="s">
        <v>170</v>
      </c>
      <c r="G100" s="101" t="s">
        <v>175</v>
      </c>
      <c r="H100" s="96" t="s">
        <v>20</v>
      </c>
      <c r="I100" s="97">
        <v>10</v>
      </c>
      <c r="J100" s="97"/>
      <c r="K100" s="121" t="str">
        <f>IF(consolidado[[#This Row],[Observações]]="","Não","Sim")</f>
        <v>Não</v>
      </c>
      <c r="L100" s="119">
        <v>10</v>
      </c>
    </row>
    <row r="101" spans="1:12" ht="26.4" x14ac:dyDescent="0.3">
      <c r="A101" s="4" t="s">
        <v>865</v>
      </c>
      <c r="B101" s="4" t="s">
        <v>100</v>
      </c>
      <c r="C101" s="5" t="s">
        <v>869</v>
      </c>
      <c r="D101" s="5" t="s">
        <v>176</v>
      </c>
      <c r="E101" s="5" t="str">
        <f t="shared" si="1"/>
        <v>GS16</v>
      </c>
      <c r="F101" s="5" t="s">
        <v>177</v>
      </c>
      <c r="G101" s="101" t="s">
        <v>178</v>
      </c>
      <c r="H101" s="96" t="s">
        <v>12</v>
      </c>
      <c r="I101" s="97">
        <v>0</v>
      </c>
      <c r="J101" s="97"/>
      <c r="K101" s="121" t="str">
        <f>IF(consolidado[[#This Row],[Observações]]="","Não","Sim")</f>
        <v>Não</v>
      </c>
      <c r="L101" s="119" t="s">
        <v>603</v>
      </c>
    </row>
    <row r="102" spans="1:12" ht="26.4" x14ac:dyDescent="0.3">
      <c r="A102" s="4" t="s">
        <v>865</v>
      </c>
      <c r="B102" s="4" t="s">
        <v>100</v>
      </c>
      <c r="C102" s="5" t="s">
        <v>869</v>
      </c>
      <c r="D102" s="5" t="s">
        <v>176</v>
      </c>
      <c r="E102" s="5" t="str">
        <f t="shared" si="1"/>
        <v>GS16</v>
      </c>
      <c r="F102" s="5" t="s">
        <v>177</v>
      </c>
      <c r="G102" s="101" t="s">
        <v>179</v>
      </c>
      <c r="H102" s="105" t="s">
        <v>16</v>
      </c>
      <c r="I102" s="97">
        <v>6</v>
      </c>
      <c r="J102" s="97"/>
      <c r="K102" s="121" t="str">
        <f>IF(consolidado[[#This Row],[Observações]]="","Não","Sim")</f>
        <v>Não</v>
      </c>
      <c r="L102" s="119" t="s">
        <v>603</v>
      </c>
    </row>
    <row r="103" spans="1:12" ht="26.4" x14ac:dyDescent="0.3">
      <c r="A103" s="4" t="s">
        <v>865</v>
      </c>
      <c r="B103" s="4" t="s">
        <v>100</v>
      </c>
      <c r="C103" s="5" t="s">
        <v>869</v>
      </c>
      <c r="D103" s="5" t="s">
        <v>176</v>
      </c>
      <c r="E103" s="5" t="str">
        <f t="shared" si="1"/>
        <v>GS16</v>
      </c>
      <c r="F103" s="5" t="s">
        <v>177</v>
      </c>
      <c r="G103" s="101" t="s">
        <v>180</v>
      </c>
      <c r="H103" s="96" t="s">
        <v>18</v>
      </c>
      <c r="I103" s="97">
        <v>8</v>
      </c>
      <c r="J103" s="97"/>
      <c r="K103" s="121" t="str">
        <f>IF(consolidado[[#This Row],[Observações]]="","Não","Sim")</f>
        <v>Não</v>
      </c>
      <c r="L103" s="119" t="s">
        <v>603</v>
      </c>
    </row>
    <row r="104" spans="1:12" ht="26.4" x14ac:dyDescent="0.3">
      <c r="A104" s="4" t="s">
        <v>865</v>
      </c>
      <c r="B104" s="4" t="s">
        <v>100</v>
      </c>
      <c r="C104" s="5" t="s">
        <v>869</v>
      </c>
      <c r="D104" s="5" t="s">
        <v>176</v>
      </c>
      <c r="E104" s="5" t="str">
        <f t="shared" si="1"/>
        <v>GS16</v>
      </c>
      <c r="F104" s="5" t="s">
        <v>177</v>
      </c>
      <c r="G104" s="101" t="s">
        <v>181</v>
      </c>
      <c r="H104" s="96" t="s">
        <v>20</v>
      </c>
      <c r="I104" s="97">
        <v>10</v>
      </c>
      <c r="J104" s="97"/>
      <c r="K104" s="121" t="str">
        <f>IF(consolidado[[#This Row],[Observações]]="","Não","Sim")</f>
        <v>Não</v>
      </c>
      <c r="L104" s="119" t="s">
        <v>603</v>
      </c>
    </row>
    <row r="105" spans="1:12" ht="28.8" x14ac:dyDescent="0.3">
      <c r="A105" s="4" t="s">
        <v>865</v>
      </c>
      <c r="B105" s="4" t="s">
        <v>100</v>
      </c>
      <c r="C105" s="5" t="s">
        <v>869</v>
      </c>
      <c r="D105" s="5" t="s">
        <v>182</v>
      </c>
      <c r="E105" s="5" t="str">
        <f t="shared" si="1"/>
        <v>GS17</v>
      </c>
      <c r="F105" s="5" t="s">
        <v>183</v>
      </c>
      <c r="G105" s="101" t="s">
        <v>184</v>
      </c>
      <c r="H105" s="96" t="s">
        <v>12</v>
      </c>
      <c r="I105" s="97">
        <v>0</v>
      </c>
      <c r="J105" s="97"/>
      <c r="K105" s="121" t="str">
        <f>IF(consolidado[[#This Row],[Observações]]="","Não","Sim")</f>
        <v>Não</v>
      </c>
      <c r="L105" s="119">
        <v>10</v>
      </c>
    </row>
    <row r="106" spans="1:12" ht="28.8" x14ac:dyDescent="0.3">
      <c r="A106" s="4" t="s">
        <v>865</v>
      </c>
      <c r="B106" s="4" t="s">
        <v>100</v>
      </c>
      <c r="C106" s="5" t="s">
        <v>869</v>
      </c>
      <c r="D106" s="5" t="s">
        <v>182</v>
      </c>
      <c r="E106" s="5" t="str">
        <f t="shared" si="1"/>
        <v>GS17</v>
      </c>
      <c r="F106" s="5" t="s">
        <v>183</v>
      </c>
      <c r="G106" s="101" t="s">
        <v>185</v>
      </c>
      <c r="H106" s="106" t="s">
        <v>16</v>
      </c>
      <c r="I106" s="107">
        <v>0</v>
      </c>
      <c r="J106" s="107" t="s">
        <v>534</v>
      </c>
      <c r="K106" s="121" t="str">
        <f>IF(consolidado[[#This Row],[Observações]]="","Não","Sim")</f>
        <v>Sim</v>
      </c>
      <c r="L106" s="119">
        <v>10</v>
      </c>
    </row>
    <row r="107" spans="1:12" ht="28.8" x14ac:dyDescent="0.3">
      <c r="A107" s="4" t="s">
        <v>865</v>
      </c>
      <c r="B107" s="4" t="s">
        <v>100</v>
      </c>
      <c r="C107" s="5" t="s">
        <v>869</v>
      </c>
      <c r="D107" s="5" t="s">
        <v>182</v>
      </c>
      <c r="E107" s="5" t="str">
        <f t="shared" si="1"/>
        <v>GS17</v>
      </c>
      <c r="F107" s="5" t="s">
        <v>183</v>
      </c>
      <c r="G107" s="101" t="s">
        <v>186</v>
      </c>
      <c r="H107" s="96" t="s">
        <v>18</v>
      </c>
      <c r="I107" s="97">
        <v>8</v>
      </c>
      <c r="J107" s="97"/>
      <c r="K107" s="121" t="str">
        <f>IF(consolidado[[#This Row],[Observações]]="","Não","Sim")</f>
        <v>Não</v>
      </c>
      <c r="L107" s="119">
        <v>10</v>
      </c>
    </row>
    <row r="108" spans="1:12" ht="28.8" x14ac:dyDescent="0.3">
      <c r="A108" s="4" t="s">
        <v>865</v>
      </c>
      <c r="B108" s="4" t="s">
        <v>100</v>
      </c>
      <c r="C108" s="5" t="s">
        <v>869</v>
      </c>
      <c r="D108" s="5" t="s">
        <v>182</v>
      </c>
      <c r="E108" s="5" t="str">
        <f t="shared" si="1"/>
        <v>GS17</v>
      </c>
      <c r="F108" s="5" t="s">
        <v>183</v>
      </c>
      <c r="G108" s="101" t="s">
        <v>187</v>
      </c>
      <c r="H108" s="96" t="s">
        <v>20</v>
      </c>
      <c r="I108" s="97">
        <v>10</v>
      </c>
      <c r="J108" s="97"/>
      <c r="K108" s="121" t="str">
        <f>IF(consolidado[[#This Row],[Observações]]="","Não","Sim")</f>
        <v>Não</v>
      </c>
      <c r="L108" s="119">
        <v>10</v>
      </c>
    </row>
    <row r="109" spans="1:12" ht="39.6" x14ac:dyDescent="0.3">
      <c r="A109" s="4" t="s">
        <v>865</v>
      </c>
      <c r="B109" s="4" t="s">
        <v>100</v>
      </c>
      <c r="C109" s="5" t="s">
        <v>188</v>
      </c>
      <c r="D109" s="5" t="s">
        <v>189</v>
      </c>
      <c r="E109" s="5" t="str">
        <f t="shared" si="1"/>
        <v>GS18</v>
      </c>
      <c r="F109" s="5" t="s">
        <v>190</v>
      </c>
      <c r="G109" s="101" t="s">
        <v>191</v>
      </c>
      <c r="H109" s="96" t="s">
        <v>12</v>
      </c>
      <c r="I109" s="97">
        <v>0</v>
      </c>
      <c r="J109" s="97"/>
      <c r="K109" s="121" t="str">
        <f>IF(consolidado[[#This Row],[Observações]]="","Não","Sim")</f>
        <v>Não</v>
      </c>
      <c r="L109" s="119">
        <v>8</v>
      </c>
    </row>
    <row r="110" spans="1:12" ht="39.6" x14ac:dyDescent="0.3">
      <c r="A110" s="4" t="s">
        <v>865</v>
      </c>
      <c r="B110" s="4" t="s">
        <v>100</v>
      </c>
      <c r="C110" s="5" t="s">
        <v>188</v>
      </c>
      <c r="D110" s="5" t="s">
        <v>189</v>
      </c>
      <c r="E110" s="5" t="str">
        <f t="shared" si="1"/>
        <v>GS18</v>
      </c>
      <c r="F110" s="5" t="s">
        <v>190</v>
      </c>
      <c r="G110" s="101" t="s">
        <v>192</v>
      </c>
      <c r="H110" s="106" t="s">
        <v>16</v>
      </c>
      <c r="I110" s="107">
        <v>0</v>
      </c>
      <c r="J110" s="107" t="s">
        <v>534</v>
      </c>
      <c r="K110" s="121" t="str">
        <f>IF(consolidado[[#This Row],[Observações]]="","Não","Sim")</f>
        <v>Sim</v>
      </c>
      <c r="L110" s="119">
        <v>8</v>
      </c>
    </row>
    <row r="111" spans="1:12" ht="39.6" x14ac:dyDescent="0.3">
      <c r="A111" s="4" t="s">
        <v>865</v>
      </c>
      <c r="B111" s="4" t="s">
        <v>100</v>
      </c>
      <c r="C111" s="5" t="s">
        <v>188</v>
      </c>
      <c r="D111" s="5" t="s">
        <v>189</v>
      </c>
      <c r="E111" s="5" t="str">
        <f t="shared" si="1"/>
        <v>GS18</v>
      </c>
      <c r="F111" s="5" t="s">
        <v>190</v>
      </c>
      <c r="G111" s="101" t="s">
        <v>193</v>
      </c>
      <c r="H111" s="96" t="s">
        <v>18</v>
      </c>
      <c r="I111" s="97">
        <v>8</v>
      </c>
      <c r="J111" s="97"/>
      <c r="K111" s="121" t="str">
        <f>IF(consolidado[[#This Row],[Observações]]="","Não","Sim")</f>
        <v>Não</v>
      </c>
      <c r="L111" s="119">
        <v>8</v>
      </c>
    </row>
    <row r="112" spans="1:12" ht="39.6" x14ac:dyDescent="0.3">
      <c r="A112" s="4" t="s">
        <v>865</v>
      </c>
      <c r="B112" s="4" t="s">
        <v>100</v>
      </c>
      <c r="C112" s="5" t="s">
        <v>188</v>
      </c>
      <c r="D112" s="5" t="s">
        <v>189</v>
      </c>
      <c r="E112" s="5" t="str">
        <f t="shared" si="1"/>
        <v>GS18</v>
      </c>
      <c r="F112" s="5" t="s">
        <v>190</v>
      </c>
      <c r="G112" s="101" t="s">
        <v>194</v>
      </c>
      <c r="H112" s="96" t="s">
        <v>20</v>
      </c>
      <c r="I112" s="97">
        <v>10</v>
      </c>
      <c r="J112" s="97"/>
      <c r="K112" s="121" t="str">
        <f>IF(consolidado[[#This Row],[Observações]]="","Não","Sim")</f>
        <v>Não</v>
      </c>
      <c r="L112" s="119">
        <v>8</v>
      </c>
    </row>
    <row r="113" spans="1:12" ht="39.6" x14ac:dyDescent="0.3">
      <c r="A113" s="4" t="s">
        <v>865</v>
      </c>
      <c r="B113" s="4" t="s">
        <v>100</v>
      </c>
      <c r="C113" s="5" t="s">
        <v>188</v>
      </c>
      <c r="D113" s="5" t="s">
        <v>195</v>
      </c>
      <c r="E113" s="5" t="str">
        <f t="shared" si="1"/>
        <v>GS19</v>
      </c>
      <c r="F113" s="5" t="s">
        <v>196</v>
      </c>
      <c r="G113" s="101" t="s">
        <v>197</v>
      </c>
      <c r="H113" s="96" t="s">
        <v>12</v>
      </c>
      <c r="I113" s="97">
        <v>0</v>
      </c>
      <c r="J113" s="97"/>
      <c r="K113" s="121" t="str">
        <f>IF(consolidado[[#This Row],[Observações]]="","Não","Sim")</f>
        <v>Não</v>
      </c>
      <c r="L113" s="119">
        <v>8</v>
      </c>
    </row>
    <row r="114" spans="1:12" ht="39.6" x14ac:dyDescent="0.3">
      <c r="A114" s="4" t="s">
        <v>865</v>
      </c>
      <c r="B114" s="4" t="s">
        <v>100</v>
      </c>
      <c r="C114" s="5" t="s">
        <v>188</v>
      </c>
      <c r="D114" s="5" t="s">
        <v>195</v>
      </c>
      <c r="E114" s="5" t="str">
        <f t="shared" si="1"/>
        <v>GS19</v>
      </c>
      <c r="F114" s="5" t="s">
        <v>196</v>
      </c>
      <c r="G114" s="101" t="s">
        <v>198</v>
      </c>
      <c r="H114" s="106" t="s">
        <v>14</v>
      </c>
      <c r="I114" s="107">
        <v>0</v>
      </c>
      <c r="J114" s="107" t="s">
        <v>534</v>
      </c>
      <c r="K114" s="121" t="str">
        <f>IF(consolidado[[#This Row],[Observações]]="","Não","Sim")</f>
        <v>Sim</v>
      </c>
      <c r="L114" s="119">
        <v>8</v>
      </c>
    </row>
    <row r="115" spans="1:12" ht="39.6" x14ac:dyDescent="0.3">
      <c r="A115" s="4" t="s">
        <v>865</v>
      </c>
      <c r="B115" s="4" t="s">
        <v>100</v>
      </c>
      <c r="C115" s="5" t="s">
        <v>188</v>
      </c>
      <c r="D115" s="5" t="s">
        <v>195</v>
      </c>
      <c r="E115" s="5" t="str">
        <f t="shared" si="1"/>
        <v>GS19</v>
      </c>
      <c r="F115" s="5" t="s">
        <v>196</v>
      </c>
      <c r="G115" s="101" t="s">
        <v>199</v>
      </c>
      <c r="H115" s="96" t="s">
        <v>16</v>
      </c>
      <c r="I115" s="97">
        <v>6</v>
      </c>
      <c r="J115" s="97"/>
      <c r="K115" s="121" t="str">
        <f>IF(consolidado[[#This Row],[Observações]]="","Não","Sim")</f>
        <v>Não</v>
      </c>
      <c r="L115" s="119">
        <v>8</v>
      </c>
    </row>
    <row r="116" spans="1:12" ht="39.6" x14ac:dyDescent="0.3">
      <c r="A116" s="4" t="s">
        <v>865</v>
      </c>
      <c r="B116" s="4" t="s">
        <v>100</v>
      </c>
      <c r="C116" s="5" t="s">
        <v>188</v>
      </c>
      <c r="D116" s="5" t="s">
        <v>195</v>
      </c>
      <c r="E116" s="5" t="str">
        <f t="shared" si="1"/>
        <v>GS19</v>
      </c>
      <c r="F116" s="5" t="s">
        <v>196</v>
      </c>
      <c r="G116" s="95" t="s">
        <v>200</v>
      </c>
      <c r="H116" s="96" t="s">
        <v>18</v>
      </c>
      <c r="I116" s="97">
        <v>8</v>
      </c>
      <c r="J116" s="97"/>
      <c r="K116" s="121" t="str">
        <f>IF(consolidado[[#This Row],[Observações]]="","Não","Sim")</f>
        <v>Não</v>
      </c>
      <c r="L116" s="119">
        <v>8</v>
      </c>
    </row>
    <row r="117" spans="1:12" ht="39.6" x14ac:dyDescent="0.3">
      <c r="A117" s="4" t="s">
        <v>865</v>
      </c>
      <c r="B117" s="4" t="s">
        <v>100</v>
      </c>
      <c r="C117" s="5" t="s">
        <v>188</v>
      </c>
      <c r="D117" s="5" t="s">
        <v>195</v>
      </c>
      <c r="E117" s="5" t="str">
        <f t="shared" si="1"/>
        <v>GS19</v>
      </c>
      <c r="F117" s="5" t="s">
        <v>196</v>
      </c>
      <c r="G117" s="102" t="s">
        <v>201</v>
      </c>
      <c r="H117" s="96" t="s">
        <v>20</v>
      </c>
      <c r="I117" s="97">
        <v>10</v>
      </c>
      <c r="J117" s="97"/>
      <c r="K117" s="121" t="str">
        <f>IF(consolidado[[#This Row],[Observações]]="","Não","Sim")</f>
        <v>Não</v>
      </c>
      <c r="L117" s="119">
        <v>8</v>
      </c>
    </row>
    <row r="118" spans="1:12" ht="39.6" x14ac:dyDescent="0.3">
      <c r="A118" s="4" t="s">
        <v>865</v>
      </c>
      <c r="B118" s="4" t="s">
        <v>100</v>
      </c>
      <c r="C118" s="5" t="s">
        <v>188</v>
      </c>
      <c r="D118" s="5" t="s">
        <v>202</v>
      </c>
      <c r="E118" s="5" t="str">
        <f t="shared" si="1"/>
        <v>GS20</v>
      </c>
      <c r="F118" s="5" t="s">
        <v>203</v>
      </c>
      <c r="G118" s="102" t="s">
        <v>204</v>
      </c>
      <c r="H118" s="96" t="s">
        <v>12</v>
      </c>
      <c r="I118" s="97">
        <v>0</v>
      </c>
      <c r="J118" s="97"/>
      <c r="K118" s="121" t="str">
        <f>IF(consolidado[[#This Row],[Observações]]="","Não","Sim")</f>
        <v>Não</v>
      </c>
      <c r="L118" s="119">
        <v>8</v>
      </c>
    </row>
    <row r="119" spans="1:12" ht="39.6" x14ac:dyDescent="0.3">
      <c r="A119" s="4" t="s">
        <v>865</v>
      </c>
      <c r="B119" s="4" t="s">
        <v>100</v>
      </c>
      <c r="C119" s="5" t="s">
        <v>188</v>
      </c>
      <c r="D119" s="5" t="s">
        <v>202</v>
      </c>
      <c r="E119" s="5" t="str">
        <f t="shared" si="1"/>
        <v>GS20</v>
      </c>
      <c r="F119" s="5" t="s">
        <v>203</v>
      </c>
      <c r="G119" s="102" t="s">
        <v>205</v>
      </c>
      <c r="H119" s="96" t="s">
        <v>14</v>
      </c>
      <c r="I119" s="97">
        <v>4</v>
      </c>
      <c r="J119" s="97"/>
      <c r="K119" s="121" t="str">
        <f>IF(consolidado[[#This Row],[Observações]]="","Não","Sim")</f>
        <v>Não</v>
      </c>
      <c r="L119" s="119">
        <v>8</v>
      </c>
    </row>
    <row r="120" spans="1:12" ht="39.6" x14ac:dyDescent="0.3">
      <c r="A120" s="4" t="s">
        <v>865</v>
      </c>
      <c r="B120" s="4" t="s">
        <v>100</v>
      </c>
      <c r="C120" s="5" t="s">
        <v>188</v>
      </c>
      <c r="D120" s="5" t="s">
        <v>202</v>
      </c>
      <c r="E120" s="5" t="str">
        <f t="shared" si="1"/>
        <v>GS20</v>
      </c>
      <c r="F120" s="5" t="s">
        <v>203</v>
      </c>
      <c r="G120" s="102" t="s">
        <v>206</v>
      </c>
      <c r="H120" s="96" t="s">
        <v>16</v>
      </c>
      <c r="I120" s="97">
        <v>6</v>
      </c>
      <c r="J120" s="97"/>
      <c r="K120" s="121" t="str">
        <f>IF(consolidado[[#This Row],[Observações]]="","Não","Sim")</f>
        <v>Não</v>
      </c>
      <c r="L120" s="119">
        <v>8</v>
      </c>
    </row>
    <row r="121" spans="1:12" ht="39.6" x14ac:dyDescent="0.3">
      <c r="A121" s="4" t="s">
        <v>865</v>
      </c>
      <c r="B121" s="4" t="s">
        <v>100</v>
      </c>
      <c r="C121" s="5" t="s">
        <v>188</v>
      </c>
      <c r="D121" s="5" t="s">
        <v>202</v>
      </c>
      <c r="E121" s="5" t="str">
        <f t="shared" si="1"/>
        <v>GS20</v>
      </c>
      <c r="F121" s="5" t="s">
        <v>203</v>
      </c>
      <c r="G121" s="102" t="s">
        <v>207</v>
      </c>
      <c r="H121" s="96" t="s">
        <v>18</v>
      </c>
      <c r="I121" s="97">
        <v>8</v>
      </c>
      <c r="J121" s="97"/>
      <c r="K121" s="121" t="str">
        <f>IF(consolidado[[#This Row],[Observações]]="","Não","Sim")</f>
        <v>Não</v>
      </c>
      <c r="L121" s="119">
        <v>8</v>
      </c>
    </row>
    <row r="122" spans="1:12" ht="39.6" x14ac:dyDescent="0.3">
      <c r="A122" s="4" t="s">
        <v>865</v>
      </c>
      <c r="B122" s="4" t="s">
        <v>100</v>
      </c>
      <c r="C122" s="5" t="s">
        <v>188</v>
      </c>
      <c r="D122" s="5" t="s">
        <v>202</v>
      </c>
      <c r="E122" s="5" t="str">
        <f t="shared" si="1"/>
        <v>GS20</v>
      </c>
      <c r="F122" s="5" t="s">
        <v>203</v>
      </c>
      <c r="G122" s="102" t="s">
        <v>208</v>
      </c>
      <c r="H122" s="96" t="s">
        <v>20</v>
      </c>
      <c r="I122" s="97">
        <v>10</v>
      </c>
      <c r="J122" s="97"/>
      <c r="K122" s="121" t="str">
        <f>IF(consolidado[[#This Row],[Observações]]="","Não","Sim")</f>
        <v>Não</v>
      </c>
      <c r="L122" s="119">
        <v>8</v>
      </c>
    </row>
    <row r="123" spans="1:12" ht="39.6" x14ac:dyDescent="0.3">
      <c r="A123" s="4" t="s">
        <v>865</v>
      </c>
      <c r="B123" s="4" t="s">
        <v>100</v>
      </c>
      <c r="C123" s="5" t="s">
        <v>188</v>
      </c>
      <c r="D123" s="5" t="s">
        <v>209</v>
      </c>
      <c r="E123" s="5" t="str">
        <f t="shared" si="1"/>
        <v>GS21</v>
      </c>
      <c r="F123" s="5" t="s">
        <v>210</v>
      </c>
      <c r="G123" s="102" t="s">
        <v>211</v>
      </c>
      <c r="H123" s="96" t="s">
        <v>12</v>
      </c>
      <c r="I123" s="97">
        <v>0</v>
      </c>
      <c r="J123" s="97"/>
      <c r="K123" s="121" t="str">
        <f>IF(consolidado[[#This Row],[Observações]]="","Não","Sim")</f>
        <v>Não</v>
      </c>
      <c r="L123" s="119" t="s">
        <v>604</v>
      </c>
    </row>
    <row r="124" spans="1:12" ht="39.6" x14ac:dyDescent="0.3">
      <c r="A124" s="4" t="s">
        <v>865</v>
      </c>
      <c r="B124" s="4" t="s">
        <v>100</v>
      </c>
      <c r="C124" s="5" t="s">
        <v>188</v>
      </c>
      <c r="D124" s="5" t="s">
        <v>209</v>
      </c>
      <c r="E124" s="5" t="str">
        <f t="shared" si="1"/>
        <v>GS21</v>
      </c>
      <c r="F124" s="5" t="s">
        <v>210</v>
      </c>
      <c r="G124" s="102" t="s">
        <v>212</v>
      </c>
      <c r="H124" s="106" t="s">
        <v>14</v>
      </c>
      <c r="I124" s="107">
        <v>0</v>
      </c>
      <c r="J124" s="107" t="s">
        <v>534</v>
      </c>
      <c r="K124" s="121" t="str">
        <f>IF(consolidado[[#This Row],[Observações]]="","Não","Sim")</f>
        <v>Sim</v>
      </c>
      <c r="L124" s="119" t="s">
        <v>604</v>
      </c>
    </row>
    <row r="125" spans="1:12" ht="39.6" x14ac:dyDescent="0.3">
      <c r="A125" s="4" t="s">
        <v>865</v>
      </c>
      <c r="B125" s="4" t="s">
        <v>100</v>
      </c>
      <c r="C125" s="5" t="s">
        <v>188</v>
      </c>
      <c r="D125" s="5" t="s">
        <v>209</v>
      </c>
      <c r="E125" s="5" t="str">
        <f t="shared" si="1"/>
        <v>GS21</v>
      </c>
      <c r="F125" s="5" t="s">
        <v>210</v>
      </c>
      <c r="G125" s="102" t="s">
        <v>213</v>
      </c>
      <c r="H125" s="96" t="s">
        <v>16</v>
      </c>
      <c r="I125" s="97">
        <v>6</v>
      </c>
      <c r="J125" s="97"/>
      <c r="K125" s="121" t="str">
        <f>IF(consolidado[[#This Row],[Observações]]="","Não","Sim")</f>
        <v>Não</v>
      </c>
      <c r="L125" s="119" t="s">
        <v>604</v>
      </c>
    </row>
    <row r="126" spans="1:12" ht="39.6" x14ac:dyDescent="0.3">
      <c r="A126" s="4" t="s">
        <v>865</v>
      </c>
      <c r="B126" s="4" t="s">
        <v>100</v>
      </c>
      <c r="C126" s="5" t="s">
        <v>188</v>
      </c>
      <c r="D126" s="5" t="s">
        <v>209</v>
      </c>
      <c r="E126" s="5" t="str">
        <f t="shared" si="1"/>
        <v>GS21</v>
      </c>
      <c r="F126" s="5" t="s">
        <v>210</v>
      </c>
      <c r="G126" s="102" t="s">
        <v>214</v>
      </c>
      <c r="H126" s="96" t="s">
        <v>18</v>
      </c>
      <c r="I126" s="97">
        <v>8</v>
      </c>
      <c r="J126" s="97"/>
      <c r="K126" s="121" t="str">
        <f>IF(consolidado[[#This Row],[Observações]]="","Não","Sim")</f>
        <v>Não</v>
      </c>
      <c r="L126" s="119" t="s">
        <v>604</v>
      </c>
    </row>
    <row r="127" spans="1:12" ht="39.6" x14ac:dyDescent="0.3">
      <c r="A127" s="4" t="s">
        <v>865</v>
      </c>
      <c r="B127" s="4" t="s">
        <v>100</v>
      </c>
      <c r="C127" s="5" t="s">
        <v>188</v>
      </c>
      <c r="D127" s="5" t="s">
        <v>209</v>
      </c>
      <c r="E127" s="5" t="str">
        <f t="shared" si="1"/>
        <v>GS21</v>
      </c>
      <c r="F127" s="5" t="s">
        <v>210</v>
      </c>
      <c r="G127" s="102" t="s">
        <v>215</v>
      </c>
      <c r="H127" s="96" t="s">
        <v>20</v>
      </c>
      <c r="I127" s="97">
        <v>10</v>
      </c>
      <c r="J127" s="97"/>
      <c r="K127" s="121" t="str">
        <f>IF(consolidado[[#This Row],[Observações]]="","Não","Sim")</f>
        <v>Não</v>
      </c>
      <c r="L127" s="119" t="s">
        <v>604</v>
      </c>
    </row>
    <row r="128" spans="1:12" ht="28.8" x14ac:dyDescent="0.3">
      <c r="A128" s="4" t="s">
        <v>865</v>
      </c>
      <c r="B128" s="4" t="s">
        <v>100</v>
      </c>
      <c r="C128" s="5" t="s">
        <v>216</v>
      </c>
      <c r="D128" s="5" t="s">
        <v>217</v>
      </c>
      <c r="E128" s="5" t="str">
        <f t="shared" si="1"/>
        <v>GS22</v>
      </c>
      <c r="F128" s="5" t="s">
        <v>218</v>
      </c>
      <c r="G128" s="102" t="s">
        <v>219</v>
      </c>
      <c r="H128" s="96" t="s">
        <v>12</v>
      </c>
      <c r="I128" s="97">
        <v>0</v>
      </c>
      <c r="J128" s="97"/>
      <c r="K128" s="121" t="str">
        <f>IF(consolidado[[#This Row],[Observações]]="","Não","Sim")</f>
        <v>Não</v>
      </c>
      <c r="L128" s="119">
        <v>10</v>
      </c>
    </row>
    <row r="129" spans="1:12" ht="28.8" x14ac:dyDescent="0.3">
      <c r="A129" s="4" t="s">
        <v>865</v>
      </c>
      <c r="B129" s="4" t="s">
        <v>100</v>
      </c>
      <c r="C129" s="5" t="s">
        <v>216</v>
      </c>
      <c r="D129" s="5" t="s">
        <v>217</v>
      </c>
      <c r="E129" s="5" t="str">
        <f t="shared" si="1"/>
        <v>GS22</v>
      </c>
      <c r="F129" s="5" t="s">
        <v>218</v>
      </c>
      <c r="G129" s="102" t="s">
        <v>220</v>
      </c>
      <c r="H129" s="96" t="s">
        <v>14</v>
      </c>
      <c r="I129" s="97">
        <v>4</v>
      </c>
      <c r="J129" s="97"/>
      <c r="K129" s="121" t="str">
        <f>IF(consolidado[[#This Row],[Observações]]="","Não","Sim")</f>
        <v>Não</v>
      </c>
      <c r="L129" s="119">
        <v>10</v>
      </c>
    </row>
    <row r="130" spans="1:12" ht="28.8" x14ac:dyDescent="0.3">
      <c r="A130" s="4" t="s">
        <v>865</v>
      </c>
      <c r="B130" s="4" t="s">
        <v>100</v>
      </c>
      <c r="C130" s="5" t="s">
        <v>216</v>
      </c>
      <c r="D130" s="5" t="s">
        <v>217</v>
      </c>
      <c r="E130" s="5" t="str">
        <f t="shared" si="1"/>
        <v>GS22</v>
      </c>
      <c r="F130" s="5" t="s">
        <v>218</v>
      </c>
      <c r="G130" s="102" t="s">
        <v>221</v>
      </c>
      <c r="H130" s="96" t="s">
        <v>16</v>
      </c>
      <c r="I130" s="97">
        <v>6</v>
      </c>
      <c r="J130" s="97"/>
      <c r="K130" s="121" t="str">
        <f>IF(consolidado[[#This Row],[Observações]]="","Não","Sim")</f>
        <v>Não</v>
      </c>
      <c r="L130" s="119">
        <v>10</v>
      </c>
    </row>
    <row r="131" spans="1:12" ht="43.2" x14ac:dyDescent="0.3">
      <c r="A131" s="4" t="s">
        <v>865</v>
      </c>
      <c r="B131" s="4" t="s">
        <v>100</v>
      </c>
      <c r="C131" s="5" t="s">
        <v>216</v>
      </c>
      <c r="D131" s="5" t="s">
        <v>217</v>
      </c>
      <c r="E131" s="5" t="str">
        <f t="shared" ref="E131:E194" si="2">SUBSTITUTE(D131," ","")</f>
        <v>GS22</v>
      </c>
      <c r="F131" s="5" t="s">
        <v>218</v>
      </c>
      <c r="G131" s="102" t="s">
        <v>222</v>
      </c>
      <c r="H131" s="96" t="s">
        <v>18</v>
      </c>
      <c r="I131" s="97">
        <v>8</v>
      </c>
      <c r="J131" s="97"/>
      <c r="K131" s="121" t="str">
        <f>IF(consolidado[[#This Row],[Observações]]="","Não","Sim")</f>
        <v>Não</v>
      </c>
      <c r="L131" s="119">
        <v>10</v>
      </c>
    </row>
    <row r="132" spans="1:12" ht="28.8" x14ac:dyDescent="0.3">
      <c r="A132" s="4" t="s">
        <v>865</v>
      </c>
      <c r="B132" s="4" t="s">
        <v>100</v>
      </c>
      <c r="C132" s="5" t="s">
        <v>216</v>
      </c>
      <c r="D132" s="5" t="s">
        <v>217</v>
      </c>
      <c r="E132" s="5" t="str">
        <f t="shared" si="2"/>
        <v>GS22</v>
      </c>
      <c r="F132" s="5" t="s">
        <v>218</v>
      </c>
      <c r="G132" s="102" t="s">
        <v>223</v>
      </c>
      <c r="H132" s="96" t="s">
        <v>20</v>
      </c>
      <c r="I132" s="97">
        <v>10</v>
      </c>
      <c r="J132" s="97"/>
      <c r="K132" s="121" t="str">
        <f>IF(consolidado[[#This Row],[Observações]]="","Não","Sim")</f>
        <v>Não</v>
      </c>
      <c r="L132" s="119">
        <v>10</v>
      </c>
    </row>
    <row r="133" spans="1:12" x14ac:dyDescent="0.3">
      <c r="A133" s="4" t="s">
        <v>865</v>
      </c>
      <c r="B133" s="4" t="s">
        <v>100</v>
      </c>
      <c r="C133" s="5" t="s">
        <v>216</v>
      </c>
      <c r="D133" s="5" t="s">
        <v>225</v>
      </c>
      <c r="E133" s="5" t="str">
        <f t="shared" si="2"/>
        <v>GS23</v>
      </c>
      <c r="F133" s="5" t="s">
        <v>559</v>
      </c>
      <c r="G133" s="95" t="s">
        <v>610</v>
      </c>
      <c r="H133" s="96" t="s">
        <v>12</v>
      </c>
      <c r="I133" s="97">
        <v>0</v>
      </c>
      <c r="J133" s="97"/>
      <c r="K133" s="121" t="str">
        <f>IF(consolidado[[#This Row],[Observações]]="","Não","Sim")</f>
        <v>Não</v>
      </c>
      <c r="L133" s="119">
        <v>10</v>
      </c>
    </row>
    <row r="134" spans="1:12" x14ac:dyDescent="0.3">
      <c r="A134" s="4" t="s">
        <v>865</v>
      </c>
      <c r="B134" s="4" t="s">
        <v>100</v>
      </c>
      <c r="C134" s="5" t="s">
        <v>216</v>
      </c>
      <c r="D134" s="5" t="s">
        <v>225</v>
      </c>
      <c r="E134" s="5" t="str">
        <f t="shared" si="2"/>
        <v>GS23</v>
      </c>
      <c r="F134" s="5" t="s">
        <v>559</v>
      </c>
      <c r="G134" s="95" t="s">
        <v>611</v>
      </c>
      <c r="H134" s="96" t="s">
        <v>14</v>
      </c>
      <c r="I134" s="97">
        <v>4</v>
      </c>
      <c r="J134" s="97"/>
      <c r="K134" s="121" t="str">
        <f>IF(consolidado[[#This Row],[Observações]]="","Não","Sim")</f>
        <v>Não</v>
      </c>
      <c r="L134" s="119">
        <v>10</v>
      </c>
    </row>
    <row r="135" spans="1:12" x14ac:dyDescent="0.3">
      <c r="A135" s="4" t="s">
        <v>865</v>
      </c>
      <c r="B135" s="4" t="s">
        <v>100</v>
      </c>
      <c r="C135" s="5" t="s">
        <v>216</v>
      </c>
      <c r="D135" s="5" t="s">
        <v>225</v>
      </c>
      <c r="E135" s="5" t="str">
        <f t="shared" si="2"/>
        <v>GS23</v>
      </c>
      <c r="F135" s="5" t="s">
        <v>559</v>
      </c>
      <c r="G135" s="95" t="s">
        <v>612</v>
      </c>
      <c r="H135" s="96" t="s">
        <v>16</v>
      </c>
      <c r="I135" s="97">
        <v>6</v>
      </c>
      <c r="J135" s="97"/>
      <c r="K135" s="121" t="str">
        <f>IF(consolidado[[#This Row],[Observações]]="","Não","Sim")</f>
        <v>Não</v>
      </c>
      <c r="L135" s="119">
        <v>10</v>
      </c>
    </row>
    <row r="136" spans="1:12" x14ac:dyDescent="0.3">
      <c r="A136" s="4" t="s">
        <v>865</v>
      </c>
      <c r="B136" s="4" t="s">
        <v>100</v>
      </c>
      <c r="C136" s="5" t="s">
        <v>216</v>
      </c>
      <c r="D136" s="5" t="s">
        <v>225</v>
      </c>
      <c r="E136" s="5" t="str">
        <f t="shared" si="2"/>
        <v>GS23</v>
      </c>
      <c r="F136" s="5" t="s">
        <v>559</v>
      </c>
      <c r="G136" s="95" t="s">
        <v>613</v>
      </c>
      <c r="H136" s="96" t="s">
        <v>18</v>
      </c>
      <c r="I136" s="97">
        <v>8</v>
      </c>
      <c r="J136" s="97"/>
      <c r="K136" s="121" t="str">
        <f>IF(consolidado[[#This Row],[Observações]]="","Não","Sim")</f>
        <v>Não</v>
      </c>
      <c r="L136" s="119">
        <v>10</v>
      </c>
    </row>
    <row r="137" spans="1:12" ht="28.8" x14ac:dyDescent="0.3">
      <c r="A137" s="4" t="s">
        <v>865</v>
      </c>
      <c r="B137" s="4" t="s">
        <v>100</v>
      </c>
      <c r="C137" s="5" t="s">
        <v>216</v>
      </c>
      <c r="D137" s="5" t="s">
        <v>225</v>
      </c>
      <c r="E137" s="5" t="str">
        <f t="shared" si="2"/>
        <v>GS23</v>
      </c>
      <c r="F137" s="5" t="s">
        <v>559</v>
      </c>
      <c r="G137" s="95" t="s">
        <v>614</v>
      </c>
      <c r="H137" s="96" t="s">
        <v>20</v>
      </c>
      <c r="I137" s="97">
        <v>10</v>
      </c>
      <c r="J137" s="97"/>
      <c r="K137" s="121" t="str">
        <f>IF(consolidado[[#This Row],[Observações]]="","Não","Sim")</f>
        <v>Não</v>
      </c>
      <c r="L137" s="119">
        <v>10</v>
      </c>
    </row>
    <row r="138" spans="1:12" ht="28.8" x14ac:dyDescent="0.3">
      <c r="A138" s="4" t="s">
        <v>865</v>
      </c>
      <c r="B138" s="4" t="s">
        <v>100</v>
      </c>
      <c r="C138" s="5" t="s">
        <v>224</v>
      </c>
      <c r="D138" s="5" t="s">
        <v>232</v>
      </c>
      <c r="E138" s="5" t="str">
        <f t="shared" si="2"/>
        <v>GS24</v>
      </c>
      <c r="F138" s="5" t="s">
        <v>226</v>
      </c>
      <c r="G138" s="102" t="s">
        <v>227</v>
      </c>
      <c r="H138" s="96" t="s">
        <v>12</v>
      </c>
      <c r="I138" s="97">
        <v>0</v>
      </c>
      <c r="J138" s="97"/>
      <c r="K138" s="121" t="str">
        <f>IF(consolidado[[#This Row],[Observações]]="","Não","Sim")</f>
        <v>Não</v>
      </c>
      <c r="L138" s="119" t="s">
        <v>605</v>
      </c>
    </row>
    <row r="139" spans="1:12" ht="43.2" x14ac:dyDescent="0.3">
      <c r="A139" s="4" t="s">
        <v>865</v>
      </c>
      <c r="B139" s="4" t="s">
        <v>100</v>
      </c>
      <c r="C139" s="5" t="s">
        <v>224</v>
      </c>
      <c r="D139" s="5" t="s">
        <v>232</v>
      </c>
      <c r="E139" s="5" t="str">
        <f t="shared" si="2"/>
        <v>GS24</v>
      </c>
      <c r="F139" s="5" t="s">
        <v>226</v>
      </c>
      <c r="G139" s="102" t="s">
        <v>228</v>
      </c>
      <c r="H139" s="106" t="s">
        <v>14</v>
      </c>
      <c r="I139" s="107">
        <v>0</v>
      </c>
      <c r="J139" s="107" t="s">
        <v>534</v>
      </c>
      <c r="K139" s="121" t="str">
        <f>IF(consolidado[[#This Row],[Observações]]="","Não","Sim")</f>
        <v>Sim</v>
      </c>
      <c r="L139" s="119" t="s">
        <v>605</v>
      </c>
    </row>
    <row r="140" spans="1:12" ht="43.2" x14ac:dyDescent="0.3">
      <c r="A140" s="4" t="s">
        <v>865</v>
      </c>
      <c r="B140" s="4" t="s">
        <v>100</v>
      </c>
      <c r="C140" s="5" t="s">
        <v>224</v>
      </c>
      <c r="D140" s="5" t="s">
        <v>232</v>
      </c>
      <c r="E140" s="5" t="str">
        <f t="shared" si="2"/>
        <v>GS24</v>
      </c>
      <c r="F140" s="5" t="s">
        <v>226</v>
      </c>
      <c r="G140" s="102" t="s">
        <v>229</v>
      </c>
      <c r="H140" s="96" t="s">
        <v>16</v>
      </c>
      <c r="I140" s="97">
        <v>6</v>
      </c>
      <c r="J140" s="97"/>
      <c r="K140" s="121" t="str">
        <f>IF(consolidado[[#This Row],[Observações]]="","Não","Sim")</f>
        <v>Não</v>
      </c>
      <c r="L140" s="119" t="s">
        <v>605</v>
      </c>
    </row>
    <row r="141" spans="1:12" ht="57.6" x14ac:dyDescent="0.3">
      <c r="A141" s="4" t="s">
        <v>865</v>
      </c>
      <c r="B141" s="4" t="s">
        <v>100</v>
      </c>
      <c r="C141" s="5" t="s">
        <v>224</v>
      </c>
      <c r="D141" s="5" t="s">
        <v>232</v>
      </c>
      <c r="E141" s="5" t="str">
        <f t="shared" si="2"/>
        <v>GS24</v>
      </c>
      <c r="F141" s="5" t="s">
        <v>226</v>
      </c>
      <c r="G141" s="102" t="s">
        <v>230</v>
      </c>
      <c r="H141" s="96" t="s">
        <v>18</v>
      </c>
      <c r="I141" s="97">
        <v>8</v>
      </c>
      <c r="J141" s="97"/>
      <c r="K141" s="121" t="str">
        <f>IF(consolidado[[#This Row],[Observações]]="","Não","Sim")</f>
        <v>Não</v>
      </c>
      <c r="L141" s="119" t="s">
        <v>605</v>
      </c>
    </row>
    <row r="142" spans="1:12" ht="57.6" x14ac:dyDescent="0.3">
      <c r="A142" s="4" t="s">
        <v>865</v>
      </c>
      <c r="B142" s="4" t="s">
        <v>100</v>
      </c>
      <c r="C142" s="5" t="s">
        <v>224</v>
      </c>
      <c r="D142" s="5" t="s">
        <v>232</v>
      </c>
      <c r="E142" s="5" t="str">
        <f t="shared" si="2"/>
        <v>GS24</v>
      </c>
      <c r="F142" s="5" t="s">
        <v>226</v>
      </c>
      <c r="G142" s="102" t="s">
        <v>230</v>
      </c>
      <c r="H142" s="96" t="s">
        <v>20</v>
      </c>
      <c r="I142" s="97">
        <v>10</v>
      </c>
      <c r="J142" s="97"/>
      <c r="K142" s="121" t="str">
        <f>IF(consolidado[[#This Row],[Observações]]="","Não","Sim")</f>
        <v>Não</v>
      </c>
      <c r="L142" s="119" t="s">
        <v>605</v>
      </c>
    </row>
    <row r="143" spans="1:12" x14ac:dyDescent="0.3">
      <c r="A143" s="4" t="s">
        <v>865</v>
      </c>
      <c r="B143" s="4" t="s">
        <v>100</v>
      </c>
      <c r="C143" s="5" t="s">
        <v>231</v>
      </c>
      <c r="D143" s="5" t="s">
        <v>560</v>
      </c>
      <c r="E143" s="5" t="str">
        <f t="shared" si="2"/>
        <v>GS25</v>
      </c>
      <c r="F143" s="5" t="s">
        <v>233</v>
      </c>
      <c r="G143" s="102" t="s">
        <v>234</v>
      </c>
      <c r="H143" s="96" t="s">
        <v>12</v>
      </c>
      <c r="I143" s="97">
        <v>0</v>
      </c>
      <c r="J143" s="97"/>
      <c r="K143" s="121" t="str">
        <f>IF(consolidado[[#This Row],[Observações]]="","Não","Sim")</f>
        <v>Não</v>
      </c>
      <c r="L143" s="119">
        <v>16</v>
      </c>
    </row>
    <row r="144" spans="1:12" ht="28.8" x14ac:dyDescent="0.3">
      <c r="A144" s="4" t="s">
        <v>865</v>
      </c>
      <c r="B144" s="4" t="s">
        <v>100</v>
      </c>
      <c r="C144" s="5" t="s">
        <v>231</v>
      </c>
      <c r="D144" s="5" t="s">
        <v>560</v>
      </c>
      <c r="E144" s="5" t="str">
        <f t="shared" si="2"/>
        <v>GS25</v>
      </c>
      <c r="F144" s="5" t="s">
        <v>233</v>
      </c>
      <c r="G144" s="102" t="s">
        <v>235</v>
      </c>
      <c r="H144" s="96" t="s">
        <v>14</v>
      </c>
      <c r="I144" s="97">
        <v>4</v>
      </c>
      <c r="J144" s="97"/>
      <c r="K144" s="121" t="str">
        <f>IF(consolidado[[#This Row],[Observações]]="","Não","Sim")</f>
        <v>Não</v>
      </c>
      <c r="L144" s="119">
        <v>16</v>
      </c>
    </row>
    <row r="145" spans="1:12" ht="28.8" x14ac:dyDescent="0.3">
      <c r="A145" s="4" t="s">
        <v>865</v>
      </c>
      <c r="B145" s="4" t="s">
        <v>100</v>
      </c>
      <c r="C145" s="5" t="s">
        <v>231</v>
      </c>
      <c r="D145" s="5" t="s">
        <v>560</v>
      </c>
      <c r="E145" s="5" t="str">
        <f t="shared" si="2"/>
        <v>GS25</v>
      </c>
      <c r="F145" s="5" t="s">
        <v>233</v>
      </c>
      <c r="G145" s="102" t="s">
        <v>236</v>
      </c>
      <c r="H145" s="96" t="s">
        <v>16</v>
      </c>
      <c r="I145" s="97">
        <v>6</v>
      </c>
      <c r="J145" s="97"/>
      <c r="K145" s="121" t="str">
        <f>IF(consolidado[[#This Row],[Observações]]="","Não","Sim")</f>
        <v>Não</v>
      </c>
      <c r="L145" s="119">
        <v>16</v>
      </c>
    </row>
    <row r="146" spans="1:12" ht="28.8" x14ac:dyDescent="0.3">
      <c r="A146" s="4" t="s">
        <v>865</v>
      </c>
      <c r="B146" s="4" t="s">
        <v>100</v>
      </c>
      <c r="C146" s="5" t="s">
        <v>231</v>
      </c>
      <c r="D146" s="5" t="s">
        <v>560</v>
      </c>
      <c r="E146" s="5" t="str">
        <f t="shared" si="2"/>
        <v>GS25</v>
      </c>
      <c r="F146" s="5" t="s">
        <v>233</v>
      </c>
      <c r="G146" s="102" t="s">
        <v>237</v>
      </c>
      <c r="H146" s="96" t="s">
        <v>18</v>
      </c>
      <c r="I146" s="97">
        <v>8</v>
      </c>
      <c r="J146" s="97"/>
      <c r="K146" s="121" t="str">
        <f>IF(consolidado[[#This Row],[Observações]]="","Não","Sim")</f>
        <v>Não</v>
      </c>
      <c r="L146" s="119">
        <v>16</v>
      </c>
    </row>
    <row r="147" spans="1:12" ht="28.8" x14ac:dyDescent="0.3">
      <c r="A147" s="4" t="s">
        <v>865</v>
      </c>
      <c r="B147" s="4" t="s">
        <v>100</v>
      </c>
      <c r="C147" s="5" t="s">
        <v>231</v>
      </c>
      <c r="D147" s="5" t="s">
        <v>560</v>
      </c>
      <c r="E147" s="5" t="str">
        <f t="shared" si="2"/>
        <v>GS25</v>
      </c>
      <c r="F147" s="5" t="s">
        <v>233</v>
      </c>
      <c r="G147" s="102" t="s">
        <v>238</v>
      </c>
      <c r="H147" s="96" t="s">
        <v>20</v>
      </c>
      <c r="I147" s="97">
        <v>10</v>
      </c>
      <c r="J147" s="97"/>
      <c r="K147" s="121" t="str">
        <f>IF(consolidado[[#This Row],[Observações]]="","Não","Sim")</f>
        <v>Não</v>
      </c>
      <c r="L147" s="119">
        <v>16</v>
      </c>
    </row>
    <row r="148" spans="1:12" ht="28.8" x14ac:dyDescent="0.3">
      <c r="A148" s="4" t="s">
        <v>865</v>
      </c>
      <c r="B148" s="4" t="s">
        <v>239</v>
      </c>
      <c r="C148" s="5" t="s">
        <v>240</v>
      </c>
      <c r="D148" s="5" t="s">
        <v>241</v>
      </c>
      <c r="E148" s="5" t="str">
        <f t="shared" si="2"/>
        <v>GG01</v>
      </c>
      <c r="F148" s="5" t="s">
        <v>242</v>
      </c>
      <c r="G148" s="102" t="s">
        <v>243</v>
      </c>
      <c r="H148" s="96" t="s">
        <v>12</v>
      </c>
      <c r="I148" s="97">
        <v>0</v>
      </c>
      <c r="J148" s="97"/>
      <c r="K148" s="121" t="str">
        <f>IF(consolidado[[#This Row],[Observações]]="","Não","Sim")</f>
        <v>Não</v>
      </c>
      <c r="L148" s="119" t="s">
        <v>606</v>
      </c>
    </row>
    <row r="149" spans="1:12" ht="28.8" x14ac:dyDescent="0.3">
      <c r="A149" s="4" t="s">
        <v>865</v>
      </c>
      <c r="B149" s="4" t="s">
        <v>239</v>
      </c>
      <c r="C149" s="5" t="s">
        <v>240</v>
      </c>
      <c r="D149" s="5" t="s">
        <v>241</v>
      </c>
      <c r="E149" s="5" t="str">
        <f t="shared" si="2"/>
        <v>GG01</v>
      </c>
      <c r="F149" s="5" t="s">
        <v>242</v>
      </c>
      <c r="G149" s="102" t="s">
        <v>244</v>
      </c>
      <c r="H149" s="96" t="s">
        <v>16</v>
      </c>
      <c r="I149" s="97">
        <v>6</v>
      </c>
      <c r="J149" s="97"/>
      <c r="K149" s="121" t="str">
        <f>IF(consolidado[[#This Row],[Observações]]="","Não","Sim")</f>
        <v>Não</v>
      </c>
      <c r="L149" s="119" t="s">
        <v>606</v>
      </c>
    </row>
    <row r="150" spans="1:12" ht="43.2" x14ac:dyDescent="0.3">
      <c r="A150" s="4" t="s">
        <v>865</v>
      </c>
      <c r="B150" s="4" t="s">
        <v>239</v>
      </c>
      <c r="C150" s="5" t="s">
        <v>240</v>
      </c>
      <c r="D150" s="5" t="s">
        <v>241</v>
      </c>
      <c r="E150" s="5" t="str">
        <f t="shared" si="2"/>
        <v>GG01</v>
      </c>
      <c r="F150" s="5" t="s">
        <v>242</v>
      </c>
      <c r="G150" s="102" t="s">
        <v>245</v>
      </c>
      <c r="H150" s="96" t="s">
        <v>18</v>
      </c>
      <c r="I150" s="97">
        <v>8</v>
      </c>
      <c r="J150" s="97"/>
      <c r="K150" s="121" t="str">
        <f>IF(consolidado[[#This Row],[Observações]]="","Não","Sim")</f>
        <v>Não</v>
      </c>
      <c r="L150" s="119" t="s">
        <v>606</v>
      </c>
    </row>
    <row r="151" spans="1:12" ht="43.2" x14ac:dyDescent="0.3">
      <c r="A151" s="4" t="s">
        <v>865</v>
      </c>
      <c r="B151" s="4" t="s">
        <v>239</v>
      </c>
      <c r="C151" s="5" t="s">
        <v>240</v>
      </c>
      <c r="D151" s="5" t="s">
        <v>241</v>
      </c>
      <c r="E151" s="5" t="str">
        <f t="shared" si="2"/>
        <v>GG01</v>
      </c>
      <c r="F151" s="5" t="s">
        <v>242</v>
      </c>
      <c r="G151" s="102" t="s">
        <v>246</v>
      </c>
      <c r="H151" s="96" t="s">
        <v>20</v>
      </c>
      <c r="I151" s="97">
        <v>10</v>
      </c>
      <c r="J151" s="97"/>
      <c r="K151" s="121" t="str">
        <f>IF(consolidado[[#This Row],[Observações]]="","Não","Sim")</f>
        <v>Não</v>
      </c>
      <c r="L151" s="119" t="s">
        <v>606</v>
      </c>
    </row>
    <row r="152" spans="1:12" ht="26.4" x14ac:dyDescent="0.3">
      <c r="A152" s="4" t="s">
        <v>865</v>
      </c>
      <c r="B152" s="4" t="s">
        <v>239</v>
      </c>
      <c r="C152" s="5" t="s">
        <v>240</v>
      </c>
      <c r="D152" s="5" t="s">
        <v>247</v>
      </c>
      <c r="E152" s="5" t="str">
        <f t="shared" si="2"/>
        <v>GG02</v>
      </c>
      <c r="F152" s="5" t="s">
        <v>248</v>
      </c>
      <c r="G152" s="102" t="s">
        <v>249</v>
      </c>
      <c r="H152" s="96" t="s">
        <v>12</v>
      </c>
      <c r="I152" s="97">
        <v>0</v>
      </c>
      <c r="J152" s="97"/>
      <c r="K152" s="121" t="str">
        <f>IF(consolidado[[#This Row],[Observações]]="","Não","Sim")</f>
        <v>Não</v>
      </c>
      <c r="L152" s="119" t="s">
        <v>606</v>
      </c>
    </row>
    <row r="153" spans="1:12" ht="28.8" x14ac:dyDescent="0.3">
      <c r="A153" s="4" t="s">
        <v>865</v>
      </c>
      <c r="B153" s="4" t="s">
        <v>239</v>
      </c>
      <c r="C153" s="5" t="s">
        <v>240</v>
      </c>
      <c r="D153" s="5" t="s">
        <v>247</v>
      </c>
      <c r="E153" s="5" t="str">
        <f t="shared" si="2"/>
        <v>GG02</v>
      </c>
      <c r="F153" s="5" t="s">
        <v>248</v>
      </c>
      <c r="G153" s="102" t="s">
        <v>250</v>
      </c>
      <c r="H153" s="96" t="s">
        <v>14</v>
      </c>
      <c r="I153" s="97">
        <v>4</v>
      </c>
      <c r="J153" s="97"/>
      <c r="K153" s="121" t="str">
        <f>IF(consolidado[[#This Row],[Observações]]="","Não","Sim")</f>
        <v>Não</v>
      </c>
      <c r="L153" s="119" t="s">
        <v>606</v>
      </c>
    </row>
    <row r="154" spans="1:12" ht="28.8" x14ac:dyDescent="0.3">
      <c r="A154" s="4" t="s">
        <v>865</v>
      </c>
      <c r="B154" s="4" t="s">
        <v>239</v>
      </c>
      <c r="C154" s="5" t="s">
        <v>240</v>
      </c>
      <c r="D154" s="5" t="s">
        <v>247</v>
      </c>
      <c r="E154" s="5" t="str">
        <f t="shared" si="2"/>
        <v>GG02</v>
      </c>
      <c r="F154" s="5" t="s">
        <v>248</v>
      </c>
      <c r="G154" s="102" t="s">
        <v>251</v>
      </c>
      <c r="H154" s="96" t="s">
        <v>16</v>
      </c>
      <c r="I154" s="97">
        <v>6</v>
      </c>
      <c r="J154" s="97"/>
      <c r="K154" s="121" t="str">
        <f>IF(consolidado[[#This Row],[Observações]]="","Não","Sim")</f>
        <v>Não</v>
      </c>
      <c r="L154" s="119" t="s">
        <v>606</v>
      </c>
    </row>
    <row r="155" spans="1:12" ht="28.8" x14ac:dyDescent="0.3">
      <c r="A155" s="4" t="s">
        <v>865</v>
      </c>
      <c r="B155" s="4" t="s">
        <v>239</v>
      </c>
      <c r="C155" s="5" t="s">
        <v>240</v>
      </c>
      <c r="D155" s="5" t="s">
        <v>247</v>
      </c>
      <c r="E155" s="5" t="str">
        <f t="shared" si="2"/>
        <v>GG02</v>
      </c>
      <c r="F155" s="5" t="s">
        <v>248</v>
      </c>
      <c r="G155" s="102" t="s">
        <v>252</v>
      </c>
      <c r="H155" s="96" t="s">
        <v>18</v>
      </c>
      <c r="I155" s="97">
        <v>8</v>
      </c>
      <c r="J155" s="97"/>
      <c r="K155" s="121" t="str">
        <f>IF(consolidado[[#This Row],[Observações]]="","Não","Sim")</f>
        <v>Não</v>
      </c>
      <c r="L155" s="119" t="s">
        <v>606</v>
      </c>
    </row>
    <row r="156" spans="1:12" ht="28.8" x14ac:dyDescent="0.3">
      <c r="A156" s="4" t="s">
        <v>865</v>
      </c>
      <c r="B156" s="4" t="s">
        <v>239</v>
      </c>
      <c r="C156" s="5" t="s">
        <v>240</v>
      </c>
      <c r="D156" s="5" t="s">
        <v>247</v>
      </c>
      <c r="E156" s="5" t="str">
        <f t="shared" si="2"/>
        <v>GG02</v>
      </c>
      <c r="F156" s="5" t="s">
        <v>248</v>
      </c>
      <c r="G156" s="102" t="s">
        <v>253</v>
      </c>
      <c r="H156" s="96" t="s">
        <v>20</v>
      </c>
      <c r="I156" s="97">
        <v>10</v>
      </c>
      <c r="J156" s="97"/>
      <c r="K156" s="121" t="str">
        <f>IF(consolidado[[#This Row],[Observações]]="","Não","Sim")</f>
        <v>Não</v>
      </c>
      <c r="L156" s="119" t="s">
        <v>606</v>
      </c>
    </row>
    <row r="157" spans="1:12" ht="26.4" x14ac:dyDescent="0.3">
      <c r="A157" s="4" t="s">
        <v>865</v>
      </c>
      <c r="B157" s="4" t="s">
        <v>239</v>
      </c>
      <c r="C157" s="5" t="s">
        <v>240</v>
      </c>
      <c r="D157" s="5" t="s">
        <v>254</v>
      </c>
      <c r="E157" s="5" t="str">
        <f t="shared" si="2"/>
        <v>GG03</v>
      </c>
      <c r="F157" s="5" t="s">
        <v>255</v>
      </c>
      <c r="G157" s="102" t="s">
        <v>256</v>
      </c>
      <c r="H157" s="96" t="s">
        <v>12</v>
      </c>
      <c r="I157" s="97">
        <v>0</v>
      </c>
      <c r="J157" s="97"/>
      <c r="K157" s="121" t="str">
        <f>IF(consolidado[[#This Row],[Observações]]="","Não","Sim")</f>
        <v>Não</v>
      </c>
      <c r="L157" s="119">
        <v>17</v>
      </c>
    </row>
    <row r="158" spans="1:12" ht="26.4" x14ac:dyDescent="0.3">
      <c r="A158" s="4" t="s">
        <v>865</v>
      </c>
      <c r="B158" s="4" t="s">
        <v>239</v>
      </c>
      <c r="C158" s="5" t="s">
        <v>240</v>
      </c>
      <c r="D158" s="5" t="s">
        <v>254</v>
      </c>
      <c r="E158" s="5" t="str">
        <f t="shared" si="2"/>
        <v>GG03</v>
      </c>
      <c r="F158" s="5" t="s">
        <v>255</v>
      </c>
      <c r="G158" s="102" t="s">
        <v>257</v>
      </c>
      <c r="H158" s="96" t="s">
        <v>16</v>
      </c>
      <c r="I158" s="97">
        <v>6</v>
      </c>
      <c r="J158" s="97"/>
      <c r="K158" s="121" t="str">
        <f>IF(consolidado[[#This Row],[Observações]]="","Não","Sim")</f>
        <v>Não</v>
      </c>
      <c r="L158" s="119">
        <v>17</v>
      </c>
    </row>
    <row r="159" spans="1:12" ht="28.8" x14ac:dyDescent="0.3">
      <c r="A159" s="4" t="s">
        <v>865</v>
      </c>
      <c r="B159" s="4" t="s">
        <v>239</v>
      </c>
      <c r="C159" s="5" t="s">
        <v>240</v>
      </c>
      <c r="D159" s="5" t="s">
        <v>254</v>
      </c>
      <c r="E159" s="5" t="str">
        <f t="shared" si="2"/>
        <v>GG03</v>
      </c>
      <c r="F159" s="5" t="s">
        <v>255</v>
      </c>
      <c r="G159" s="102" t="s">
        <v>258</v>
      </c>
      <c r="H159" s="96" t="s">
        <v>18</v>
      </c>
      <c r="I159" s="97">
        <v>8</v>
      </c>
      <c r="J159" s="97"/>
      <c r="K159" s="121" t="str">
        <f>IF(consolidado[[#This Row],[Observações]]="","Não","Sim")</f>
        <v>Não</v>
      </c>
      <c r="L159" s="119">
        <v>17</v>
      </c>
    </row>
    <row r="160" spans="1:12" ht="28.8" x14ac:dyDescent="0.3">
      <c r="A160" s="4" t="s">
        <v>865</v>
      </c>
      <c r="B160" s="4" t="s">
        <v>239</v>
      </c>
      <c r="C160" s="5" t="s">
        <v>240</v>
      </c>
      <c r="D160" s="5" t="s">
        <v>254</v>
      </c>
      <c r="E160" s="5" t="str">
        <f t="shared" si="2"/>
        <v>GG03</v>
      </c>
      <c r="F160" s="5" t="s">
        <v>255</v>
      </c>
      <c r="G160" s="102" t="s">
        <v>259</v>
      </c>
      <c r="H160" s="96" t="s">
        <v>20</v>
      </c>
      <c r="I160" s="97">
        <v>10</v>
      </c>
      <c r="J160" s="97"/>
      <c r="K160" s="121" t="str">
        <f>IF(consolidado[[#This Row],[Observações]]="","Não","Sim")</f>
        <v>Não</v>
      </c>
      <c r="L160" s="119">
        <v>17</v>
      </c>
    </row>
    <row r="161" spans="1:12" ht="26.4" x14ac:dyDescent="0.3">
      <c r="A161" s="4" t="s">
        <v>865</v>
      </c>
      <c r="B161" s="4" t="s">
        <v>239</v>
      </c>
      <c r="C161" s="5" t="s">
        <v>240</v>
      </c>
      <c r="D161" s="5" t="s">
        <v>260</v>
      </c>
      <c r="E161" s="5" t="str">
        <f t="shared" si="2"/>
        <v>GG04</v>
      </c>
      <c r="F161" s="5" t="s">
        <v>261</v>
      </c>
      <c r="G161" s="102" t="s">
        <v>262</v>
      </c>
      <c r="H161" s="96" t="s">
        <v>12</v>
      </c>
      <c r="I161" s="97">
        <v>0</v>
      </c>
      <c r="J161" s="97"/>
      <c r="K161" s="121" t="str">
        <f>IF(consolidado[[#This Row],[Observações]]="","Não","Sim")</f>
        <v>Não</v>
      </c>
      <c r="L161" s="119">
        <v>17</v>
      </c>
    </row>
    <row r="162" spans="1:12" ht="28.8" x14ac:dyDescent="0.3">
      <c r="A162" s="4" t="s">
        <v>865</v>
      </c>
      <c r="B162" s="4" t="s">
        <v>239</v>
      </c>
      <c r="C162" s="5" t="s">
        <v>240</v>
      </c>
      <c r="D162" s="5" t="s">
        <v>260</v>
      </c>
      <c r="E162" s="5" t="str">
        <f t="shared" si="2"/>
        <v>GG04</v>
      </c>
      <c r="F162" s="5" t="s">
        <v>261</v>
      </c>
      <c r="G162" s="102" t="s">
        <v>263</v>
      </c>
      <c r="H162" s="96" t="s">
        <v>14</v>
      </c>
      <c r="I162" s="97">
        <v>4</v>
      </c>
      <c r="J162" s="97"/>
      <c r="K162" s="121" t="str">
        <f>IF(consolidado[[#This Row],[Observações]]="","Não","Sim")</f>
        <v>Não</v>
      </c>
      <c r="L162" s="119">
        <v>17</v>
      </c>
    </row>
    <row r="163" spans="1:12" ht="28.8" x14ac:dyDescent="0.3">
      <c r="A163" s="4" t="s">
        <v>865</v>
      </c>
      <c r="B163" s="4" t="s">
        <v>239</v>
      </c>
      <c r="C163" s="5" t="s">
        <v>240</v>
      </c>
      <c r="D163" s="5" t="s">
        <v>260</v>
      </c>
      <c r="E163" s="5" t="str">
        <f t="shared" si="2"/>
        <v>GG04</v>
      </c>
      <c r="F163" s="5" t="s">
        <v>261</v>
      </c>
      <c r="G163" s="102" t="s">
        <v>264</v>
      </c>
      <c r="H163" s="96" t="s">
        <v>16</v>
      </c>
      <c r="I163" s="97">
        <v>6</v>
      </c>
      <c r="J163" s="97"/>
      <c r="K163" s="121" t="str">
        <f>IF(consolidado[[#This Row],[Observações]]="","Não","Sim")</f>
        <v>Não</v>
      </c>
      <c r="L163" s="119">
        <v>17</v>
      </c>
    </row>
    <row r="164" spans="1:12" ht="28.8" x14ac:dyDescent="0.3">
      <c r="A164" s="4" t="s">
        <v>865</v>
      </c>
      <c r="B164" s="4" t="s">
        <v>239</v>
      </c>
      <c r="C164" s="5" t="s">
        <v>240</v>
      </c>
      <c r="D164" s="5" t="s">
        <v>260</v>
      </c>
      <c r="E164" s="5" t="str">
        <f t="shared" si="2"/>
        <v>GG04</v>
      </c>
      <c r="F164" s="5" t="s">
        <v>261</v>
      </c>
      <c r="G164" s="102" t="s">
        <v>265</v>
      </c>
      <c r="H164" s="96" t="s">
        <v>18</v>
      </c>
      <c r="I164" s="97">
        <v>8</v>
      </c>
      <c r="J164" s="97"/>
      <c r="K164" s="121" t="str">
        <f>IF(consolidado[[#This Row],[Observações]]="","Não","Sim")</f>
        <v>Não</v>
      </c>
      <c r="L164" s="119">
        <v>17</v>
      </c>
    </row>
    <row r="165" spans="1:12" ht="28.8" x14ac:dyDescent="0.3">
      <c r="A165" s="4" t="s">
        <v>865</v>
      </c>
      <c r="B165" s="4" t="s">
        <v>239</v>
      </c>
      <c r="C165" s="5" t="s">
        <v>240</v>
      </c>
      <c r="D165" s="5" t="s">
        <v>260</v>
      </c>
      <c r="E165" s="5" t="str">
        <f t="shared" si="2"/>
        <v>GG04</v>
      </c>
      <c r="F165" s="5" t="s">
        <v>261</v>
      </c>
      <c r="G165" s="102" t="s">
        <v>266</v>
      </c>
      <c r="H165" s="96" t="s">
        <v>20</v>
      </c>
      <c r="I165" s="97">
        <v>10</v>
      </c>
      <c r="J165" s="97"/>
      <c r="K165" s="121" t="str">
        <f>IF(consolidado[[#This Row],[Observações]]="","Não","Sim")</f>
        <v>Não</v>
      </c>
      <c r="L165" s="119">
        <v>17</v>
      </c>
    </row>
    <row r="166" spans="1:12" ht="26.4" x14ac:dyDescent="0.3">
      <c r="A166" s="4" t="s">
        <v>865</v>
      </c>
      <c r="B166" s="4" t="s">
        <v>239</v>
      </c>
      <c r="C166" s="5" t="s">
        <v>8</v>
      </c>
      <c r="D166" s="5" t="s">
        <v>267</v>
      </c>
      <c r="E166" s="5" t="str">
        <f t="shared" si="2"/>
        <v>GG05</v>
      </c>
      <c r="F166" s="5" t="s">
        <v>268</v>
      </c>
      <c r="G166" s="102" t="s">
        <v>269</v>
      </c>
      <c r="H166" s="96" t="s">
        <v>12</v>
      </c>
      <c r="I166" s="97">
        <v>0</v>
      </c>
      <c r="J166" s="97"/>
      <c r="K166" s="121" t="str">
        <f>IF(consolidado[[#This Row],[Observações]]="","Não","Sim")</f>
        <v>Não</v>
      </c>
      <c r="L166" s="119">
        <v>16</v>
      </c>
    </row>
    <row r="167" spans="1:12" ht="28.8" x14ac:dyDescent="0.3">
      <c r="A167" s="4" t="s">
        <v>865</v>
      </c>
      <c r="B167" s="4" t="s">
        <v>239</v>
      </c>
      <c r="C167" s="5" t="s">
        <v>8</v>
      </c>
      <c r="D167" s="5" t="s">
        <v>267</v>
      </c>
      <c r="E167" s="5" t="str">
        <f t="shared" si="2"/>
        <v>GG05</v>
      </c>
      <c r="F167" s="5" t="s">
        <v>268</v>
      </c>
      <c r="G167" s="102" t="s">
        <v>270</v>
      </c>
      <c r="H167" s="96" t="s">
        <v>16</v>
      </c>
      <c r="I167" s="97">
        <v>6</v>
      </c>
      <c r="J167" s="97"/>
      <c r="K167" s="121" t="str">
        <f>IF(consolidado[[#This Row],[Observações]]="","Não","Sim")</f>
        <v>Não</v>
      </c>
      <c r="L167" s="119">
        <v>16</v>
      </c>
    </row>
    <row r="168" spans="1:12" ht="28.8" x14ac:dyDescent="0.3">
      <c r="A168" s="4" t="s">
        <v>865</v>
      </c>
      <c r="B168" s="4" t="s">
        <v>239</v>
      </c>
      <c r="C168" s="5" t="s">
        <v>8</v>
      </c>
      <c r="D168" s="5" t="s">
        <v>267</v>
      </c>
      <c r="E168" s="5" t="str">
        <f t="shared" si="2"/>
        <v>GG05</v>
      </c>
      <c r="F168" s="5" t="s">
        <v>268</v>
      </c>
      <c r="G168" s="102" t="s">
        <v>271</v>
      </c>
      <c r="H168" s="96" t="s">
        <v>18</v>
      </c>
      <c r="I168" s="97">
        <v>8</v>
      </c>
      <c r="J168" s="97"/>
      <c r="K168" s="121" t="str">
        <f>IF(consolidado[[#This Row],[Observações]]="","Não","Sim")</f>
        <v>Não</v>
      </c>
      <c r="L168" s="119">
        <v>16</v>
      </c>
    </row>
    <row r="169" spans="1:12" ht="28.8" x14ac:dyDescent="0.3">
      <c r="A169" s="4" t="s">
        <v>865</v>
      </c>
      <c r="B169" s="4" t="s">
        <v>239</v>
      </c>
      <c r="C169" s="5" t="s">
        <v>8</v>
      </c>
      <c r="D169" s="5" t="s">
        <v>267</v>
      </c>
      <c r="E169" s="5" t="str">
        <f t="shared" si="2"/>
        <v>GG05</v>
      </c>
      <c r="F169" s="5" t="s">
        <v>268</v>
      </c>
      <c r="G169" s="102" t="s">
        <v>272</v>
      </c>
      <c r="H169" s="96" t="s">
        <v>20</v>
      </c>
      <c r="I169" s="97">
        <v>10</v>
      </c>
      <c r="J169" s="97"/>
      <c r="K169" s="121" t="str">
        <f>IF(consolidado[[#This Row],[Observações]]="","Não","Sim")</f>
        <v>Não</v>
      </c>
      <c r="L169" s="119">
        <v>16</v>
      </c>
    </row>
    <row r="170" spans="1:12" ht="26.4" x14ac:dyDescent="0.3">
      <c r="A170" s="4" t="s">
        <v>865</v>
      </c>
      <c r="B170" s="4" t="s">
        <v>239</v>
      </c>
      <c r="C170" s="5" t="s">
        <v>8</v>
      </c>
      <c r="D170" s="5" t="s">
        <v>273</v>
      </c>
      <c r="E170" s="5" t="str">
        <f t="shared" si="2"/>
        <v>GG06</v>
      </c>
      <c r="F170" s="5" t="s">
        <v>274</v>
      </c>
      <c r="G170" s="102" t="s">
        <v>275</v>
      </c>
      <c r="H170" s="96" t="s">
        <v>12</v>
      </c>
      <c r="I170" s="97">
        <v>0</v>
      </c>
      <c r="J170" s="97"/>
      <c r="K170" s="121" t="str">
        <f>IF(consolidado[[#This Row],[Observações]]="","Não","Sim")</f>
        <v>Não</v>
      </c>
      <c r="L170" s="119" t="s">
        <v>607</v>
      </c>
    </row>
    <row r="171" spans="1:12" ht="26.4" x14ac:dyDescent="0.3">
      <c r="A171" s="4" t="s">
        <v>865</v>
      </c>
      <c r="B171" s="4" t="s">
        <v>239</v>
      </c>
      <c r="C171" s="5" t="s">
        <v>8</v>
      </c>
      <c r="D171" s="5" t="s">
        <v>273</v>
      </c>
      <c r="E171" s="5" t="str">
        <f t="shared" si="2"/>
        <v>GG06</v>
      </c>
      <c r="F171" s="5" t="s">
        <v>274</v>
      </c>
      <c r="G171" s="102" t="s">
        <v>276</v>
      </c>
      <c r="H171" s="96" t="s">
        <v>16</v>
      </c>
      <c r="I171" s="97">
        <v>6</v>
      </c>
      <c r="J171" s="97"/>
      <c r="K171" s="121" t="str">
        <f>IF(consolidado[[#This Row],[Observações]]="","Não","Sim")</f>
        <v>Não</v>
      </c>
      <c r="L171" s="119" t="s">
        <v>607</v>
      </c>
    </row>
    <row r="172" spans="1:12" ht="28.8" x14ac:dyDescent="0.3">
      <c r="A172" s="4" t="s">
        <v>865</v>
      </c>
      <c r="B172" s="4" t="s">
        <v>239</v>
      </c>
      <c r="C172" s="5" t="s">
        <v>8</v>
      </c>
      <c r="D172" s="5" t="s">
        <v>273</v>
      </c>
      <c r="E172" s="5" t="str">
        <f t="shared" si="2"/>
        <v>GG06</v>
      </c>
      <c r="F172" s="5" t="s">
        <v>274</v>
      </c>
      <c r="G172" s="102" t="s">
        <v>277</v>
      </c>
      <c r="H172" s="96" t="s">
        <v>18</v>
      </c>
      <c r="I172" s="97">
        <v>8</v>
      </c>
      <c r="J172" s="97"/>
      <c r="K172" s="121" t="str">
        <f>IF(consolidado[[#This Row],[Observações]]="","Não","Sim")</f>
        <v>Não</v>
      </c>
      <c r="L172" s="119" t="s">
        <v>607</v>
      </c>
    </row>
    <row r="173" spans="1:12" ht="28.8" x14ac:dyDescent="0.3">
      <c r="A173" s="4" t="s">
        <v>865</v>
      </c>
      <c r="B173" s="4" t="s">
        <v>239</v>
      </c>
      <c r="C173" s="5" t="s">
        <v>8</v>
      </c>
      <c r="D173" s="5" t="s">
        <v>273</v>
      </c>
      <c r="E173" s="5" t="str">
        <f t="shared" si="2"/>
        <v>GG06</v>
      </c>
      <c r="F173" s="5" t="s">
        <v>274</v>
      </c>
      <c r="G173" s="102" t="s">
        <v>278</v>
      </c>
      <c r="H173" s="96" t="s">
        <v>20</v>
      </c>
      <c r="I173" s="97">
        <v>10</v>
      </c>
      <c r="J173" s="97"/>
      <c r="K173" s="121" t="str">
        <f>IF(consolidado[[#This Row],[Observações]]="","Não","Sim")</f>
        <v>Não</v>
      </c>
      <c r="L173" s="119" t="s">
        <v>607</v>
      </c>
    </row>
    <row r="174" spans="1:12" ht="26.4" x14ac:dyDescent="0.3">
      <c r="A174" s="4" t="s">
        <v>865</v>
      </c>
      <c r="B174" s="4" t="s">
        <v>239</v>
      </c>
      <c r="C174" s="5" t="s">
        <v>8</v>
      </c>
      <c r="D174" s="5" t="s">
        <v>279</v>
      </c>
      <c r="E174" s="5" t="str">
        <f t="shared" si="2"/>
        <v>GG07</v>
      </c>
      <c r="F174" s="5" t="s">
        <v>280</v>
      </c>
      <c r="G174" s="102" t="s">
        <v>281</v>
      </c>
      <c r="H174" s="96" t="s">
        <v>12</v>
      </c>
      <c r="I174" s="97">
        <v>0</v>
      </c>
      <c r="J174" s="97"/>
      <c r="K174" s="121" t="str">
        <f>IF(consolidado[[#This Row],[Observações]]="","Não","Sim")</f>
        <v>Não</v>
      </c>
      <c r="L174" s="119">
        <v>16</v>
      </c>
    </row>
    <row r="175" spans="1:12" ht="26.4" x14ac:dyDescent="0.3">
      <c r="A175" s="4" t="s">
        <v>865</v>
      </c>
      <c r="B175" s="4" t="s">
        <v>239</v>
      </c>
      <c r="C175" s="5" t="s">
        <v>8</v>
      </c>
      <c r="D175" s="5" t="s">
        <v>279</v>
      </c>
      <c r="E175" s="5" t="str">
        <f t="shared" si="2"/>
        <v>GG07</v>
      </c>
      <c r="F175" s="5" t="s">
        <v>280</v>
      </c>
      <c r="G175" s="102" t="s">
        <v>282</v>
      </c>
      <c r="H175" s="96" t="s">
        <v>16</v>
      </c>
      <c r="I175" s="97">
        <v>6</v>
      </c>
      <c r="J175" s="97"/>
      <c r="K175" s="121" t="str">
        <f>IF(consolidado[[#This Row],[Observações]]="","Não","Sim")</f>
        <v>Não</v>
      </c>
      <c r="L175" s="119">
        <v>16</v>
      </c>
    </row>
    <row r="176" spans="1:12" ht="28.8" x14ac:dyDescent="0.3">
      <c r="A176" s="4" t="s">
        <v>865</v>
      </c>
      <c r="B176" s="4" t="s">
        <v>239</v>
      </c>
      <c r="C176" s="5" t="s">
        <v>8</v>
      </c>
      <c r="D176" s="5" t="s">
        <v>279</v>
      </c>
      <c r="E176" s="5" t="str">
        <f t="shared" si="2"/>
        <v>GG07</v>
      </c>
      <c r="F176" s="5" t="s">
        <v>280</v>
      </c>
      <c r="G176" s="102" t="s">
        <v>283</v>
      </c>
      <c r="H176" s="96" t="s">
        <v>18</v>
      </c>
      <c r="I176" s="97">
        <v>8</v>
      </c>
      <c r="J176" s="97"/>
      <c r="K176" s="121" t="str">
        <f>IF(consolidado[[#This Row],[Observações]]="","Não","Sim")</f>
        <v>Não</v>
      </c>
      <c r="L176" s="119">
        <v>16</v>
      </c>
    </row>
    <row r="177" spans="1:12" ht="28.8" x14ac:dyDescent="0.3">
      <c r="A177" s="4" t="s">
        <v>865</v>
      </c>
      <c r="B177" s="4" t="s">
        <v>239</v>
      </c>
      <c r="C177" s="5" t="s">
        <v>8</v>
      </c>
      <c r="D177" s="5" t="s">
        <v>279</v>
      </c>
      <c r="E177" s="5" t="str">
        <f t="shared" si="2"/>
        <v>GG07</v>
      </c>
      <c r="F177" s="5" t="s">
        <v>280</v>
      </c>
      <c r="G177" s="102" t="s">
        <v>284</v>
      </c>
      <c r="H177" s="96" t="s">
        <v>20</v>
      </c>
      <c r="I177" s="97">
        <v>10</v>
      </c>
      <c r="J177" s="97"/>
      <c r="K177" s="121" t="str">
        <f>IF(consolidado[[#This Row],[Observações]]="","Não","Sim")</f>
        <v>Não</v>
      </c>
      <c r="L177" s="119">
        <v>16</v>
      </c>
    </row>
    <row r="178" spans="1:12" ht="28.8" x14ac:dyDescent="0.3">
      <c r="A178" s="4" t="s">
        <v>865</v>
      </c>
      <c r="B178" s="4" t="s">
        <v>239</v>
      </c>
      <c r="C178" s="5" t="s">
        <v>8</v>
      </c>
      <c r="D178" s="5" t="s">
        <v>285</v>
      </c>
      <c r="E178" s="5" t="str">
        <f t="shared" si="2"/>
        <v>GG08</v>
      </c>
      <c r="F178" s="5" t="s">
        <v>286</v>
      </c>
      <c r="G178" s="102" t="s">
        <v>287</v>
      </c>
      <c r="H178" s="96" t="s">
        <v>12</v>
      </c>
      <c r="I178" s="97">
        <v>0</v>
      </c>
      <c r="J178" s="97"/>
      <c r="K178" s="121" t="str">
        <f>IF(consolidado[[#This Row],[Observações]]="","Não","Sim")</f>
        <v>Não</v>
      </c>
      <c r="L178" s="119">
        <v>16</v>
      </c>
    </row>
    <row r="179" spans="1:12" ht="28.8" x14ac:dyDescent="0.3">
      <c r="A179" s="4" t="s">
        <v>865</v>
      </c>
      <c r="B179" s="4" t="s">
        <v>239</v>
      </c>
      <c r="C179" s="5" t="s">
        <v>8</v>
      </c>
      <c r="D179" s="5" t="s">
        <v>285</v>
      </c>
      <c r="E179" s="5" t="str">
        <f t="shared" si="2"/>
        <v>GG08</v>
      </c>
      <c r="F179" s="5" t="s">
        <v>286</v>
      </c>
      <c r="G179" s="102" t="s">
        <v>288</v>
      </c>
      <c r="H179" s="106" t="s">
        <v>14</v>
      </c>
      <c r="I179" s="107">
        <v>0</v>
      </c>
      <c r="J179" s="107" t="s">
        <v>534</v>
      </c>
      <c r="K179" s="121" t="str">
        <f>IF(consolidado[[#This Row],[Observações]]="","Não","Sim")</f>
        <v>Sim</v>
      </c>
      <c r="L179" s="119">
        <v>16</v>
      </c>
    </row>
    <row r="180" spans="1:12" ht="28.8" x14ac:dyDescent="0.3">
      <c r="A180" s="4" t="s">
        <v>865</v>
      </c>
      <c r="B180" s="4" t="s">
        <v>239</v>
      </c>
      <c r="C180" s="5" t="s">
        <v>8</v>
      </c>
      <c r="D180" s="5" t="s">
        <v>285</v>
      </c>
      <c r="E180" s="5" t="str">
        <f t="shared" si="2"/>
        <v>GG08</v>
      </c>
      <c r="F180" s="5" t="s">
        <v>286</v>
      </c>
      <c r="G180" s="102" t="s">
        <v>289</v>
      </c>
      <c r="H180" s="96" t="s">
        <v>16</v>
      </c>
      <c r="I180" s="97">
        <v>6</v>
      </c>
      <c r="J180" s="97"/>
      <c r="K180" s="121" t="str">
        <f>IF(consolidado[[#This Row],[Observações]]="","Não","Sim")</f>
        <v>Não</v>
      </c>
      <c r="L180" s="119">
        <v>16</v>
      </c>
    </row>
    <row r="181" spans="1:12" ht="28.8" x14ac:dyDescent="0.3">
      <c r="A181" s="4" t="s">
        <v>865</v>
      </c>
      <c r="B181" s="4" t="s">
        <v>239</v>
      </c>
      <c r="C181" s="5" t="s">
        <v>8</v>
      </c>
      <c r="D181" s="5" t="s">
        <v>285</v>
      </c>
      <c r="E181" s="5" t="str">
        <f t="shared" si="2"/>
        <v>GG08</v>
      </c>
      <c r="F181" s="5" t="s">
        <v>286</v>
      </c>
      <c r="G181" s="102" t="s">
        <v>290</v>
      </c>
      <c r="H181" s="96" t="s">
        <v>18</v>
      </c>
      <c r="I181" s="97">
        <v>8</v>
      </c>
      <c r="J181" s="97"/>
      <c r="K181" s="121" t="str">
        <f>IF(consolidado[[#This Row],[Observações]]="","Não","Sim")</f>
        <v>Não</v>
      </c>
      <c r="L181" s="119">
        <v>16</v>
      </c>
    </row>
    <row r="182" spans="1:12" ht="28.8" x14ac:dyDescent="0.3">
      <c r="A182" s="4" t="s">
        <v>865</v>
      </c>
      <c r="B182" s="4" t="s">
        <v>239</v>
      </c>
      <c r="C182" s="5" t="s">
        <v>8</v>
      </c>
      <c r="D182" s="5" t="s">
        <v>285</v>
      </c>
      <c r="E182" s="5" t="str">
        <f t="shared" si="2"/>
        <v>GG08</v>
      </c>
      <c r="F182" s="5" t="s">
        <v>286</v>
      </c>
      <c r="G182" s="102" t="s">
        <v>291</v>
      </c>
      <c r="H182" s="96" t="s">
        <v>20</v>
      </c>
      <c r="I182" s="97">
        <v>10</v>
      </c>
      <c r="J182" s="97"/>
      <c r="K182" s="121" t="str">
        <f>IF(consolidado[[#This Row],[Observações]]="","Não","Sim")</f>
        <v>Não</v>
      </c>
      <c r="L182" s="119">
        <v>16</v>
      </c>
    </row>
    <row r="183" spans="1:12" ht="26.4" x14ac:dyDescent="0.3">
      <c r="A183" s="4" t="s">
        <v>865</v>
      </c>
      <c r="B183" s="4" t="s">
        <v>239</v>
      </c>
      <c r="C183" s="5" t="s">
        <v>292</v>
      </c>
      <c r="D183" s="5" t="s">
        <v>293</v>
      </c>
      <c r="E183" s="5" t="str">
        <f t="shared" si="2"/>
        <v>GG09</v>
      </c>
      <c r="F183" s="5" t="s">
        <v>294</v>
      </c>
      <c r="G183" s="102" t="s">
        <v>295</v>
      </c>
      <c r="H183" s="96" t="s">
        <v>12</v>
      </c>
      <c r="I183" s="97">
        <v>0</v>
      </c>
      <c r="J183" s="97"/>
      <c r="K183" s="121" t="str">
        <f>IF(consolidado[[#This Row],[Observações]]="","Não","Sim")</f>
        <v>Não</v>
      </c>
      <c r="L183" s="119">
        <v>17</v>
      </c>
    </row>
    <row r="184" spans="1:12" ht="28.8" x14ac:dyDescent="0.3">
      <c r="A184" s="4" t="s">
        <v>865</v>
      </c>
      <c r="B184" s="4" t="s">
        <v>239</v>
      </c>
      <c r="C184" s="5" t="s">
        <v>292</v>
      </c>
      <c r="D184" s="5" t="s">
        <v>293</v>
      </c>
      <c r="E184" s="5" t="str">
        <f t="shared" si="2"/>
        <v>GG09</v>
      </c>
      <c r="F184" s="5" t="s">
        <v>294</v>
      </c>
      <c r="G184" s="102" t="s">
        <v>296</v>
      </c>
      <c r="H184" s="96" t="s">
        <v>18</v>
      </c>
      <c r="I184" s="97">
        <v>8</v>
      </c>
      <c r="J184" s="97"/>
      <c r="K184" s="121" t="str">
        <f>IF(consolidado[[#This Row],[Observações]]="","Não","Sim")</f>
        <v>Não</v>
      </c>
      <c r="L184" s="119">
        <v>17</v>
      </c>
    </row>
    <row r="185" spans="1:12" ht="28.8" x14ac:dyDescent="0.3">
      <c r="A185" s="4" t="s">
        <v>865</v>
      </c>
      <c r="B185" s="4" t="s">
        <v>239</v>
      </c>
      <c r="C185" s="5" t="s">
        <v>292</v>
      </c>
      <c r="D185" s="5" t="s">
        <v>293</v>
      </c>
      <c r="E185" s="5" t="str">
        <f t="shared" si="2"/>
        <v>GG09</v>
      </c>
      <c r="F185" s="5" t="s">
        <v>294</v>
      </c>
      <c r="G185" s="102" t="s">
        <v>297</v>
      </c>
      <c r="H185" s="96" t="s">
        <v>20</v>
      </c>
      <c r="I185" s="97">
        <v>10</v>
      </c>
      <c r="J185" s="97"/>
      <c r="K185" s="121" t="str">
        <f>IF(consolidado[[#This Row],[Observações]]="","Não","Sim")</f>
        <v>Não</v>
      </c>
      <c r="L185" s="119">
        <v>17</v>
      </c>
    </row>
    <row r="186" spans="1:12" ht="26.4" x14ac:dyDescent="0.3">
      <c r="A186" s="4" t="s">
        <v>865</v>
      </c>
      <c r="B186" s="4" t="s">
        <v>239</v>
      </c>
      <c r="C186" s="5" t="s">
        <v>292</v>
      </c>
      <c r="D186" s="5" t="s">
        <v>298</v>
      </c>
      <c r="E186" s="5" t="str">
        <f t="shared" si="2"/>
        <v>GG10</v>
      </c>
      <c r="F186" s="5" t="s">
        <v>299</v>
      </c>
      <c r="G186" s="102" t="s">
        <v>300</v>
      </c>
      <c r="H186" s="96" t="s">
        <v>12</v>
      </c>
      <c r="I186" s="97">
        <v>0</v>
      </c>
      <c r="J186" s="97"/>
      <c r="K186" s="121" t="str">
        <f>IF(consolidado[[#This Row],[Observações]]="","Não","Sim")</f>
        <v>Não</v>
      </c>
      <c r="L186" s="119">
        <v>17</v>
      </c>
    </row>
    <row r="187" spans="1:12" ht="26.4" x14ac:dyDescent="0.3">
      <c r="A187" s="4" t="s">
        <v>865</v>
      </c>
      <c r="B187" s="4" t="s">
        <v>239</v>
      </c>
      <c r="C187" s="5" t="s">
        <v>292</v>
      </c>
      <c r="D187" s="5" t="s">
        <v>298</v>
      </c>
      <c r="E187" s="5" t="str">
        <f t="shared" si="2"/>
        <v>GG10</v>
      </c>
      <c r="F187" s="5" t="s">
        <v>299</v>
      </c>
      <c r="G187" s="102" t="s">
        <v>301</v>
      </c>
      <c r="H187" s="96" t="s">
        <v>18</v>
      </c>
      <c r="I187" s="97">
        <v>8</v>
      </c>
      <c r="J187" s="97"/>
      <c r="K187" s="121" t="str">
        <f>IF(consolidado[[#This Row],[Observações]]="","Não","Sim")</f>
        <v>Não</v>
      </c>
      <c r="L187" s="119">
        <v>17</v>
      </c>
    </row>
    <row r="188" spans="1:12" ht="28.8" x14ac:dyDescent="0.3">
      <c r="A188" s="4" t="s">
        <v>865</v>
      </c>
      <c r="B188" s="4" t="s">
        <v>239</v>
      </c>
      <c r="C188" s="5" t="s">
        <v>292</v>
      </c>
      <c r="D188" s="5" t="s">
        <v>298</v>
      </c>
      <c r="E188" s="5" t="str">
        <f t="shared" si="2"/>
        <v>GG10</v>
      </c>
      <c r="F188" s="5" t="s">
        <v>299</v>
      </c>
      <c r="G188" s="102" t="s">
        <v>302</v>
      </c>
      <c r="H188" s="96" t="s">
        <v>20</v>
      </c>
      <c r="I188" s="97">
        <v>10</v>
      </c>
      <c r="J188" s="97"/>
      <c r="K188" s="121" t="str">
        <f>IF(consolidado[[#This Row],[Observações]]="","Não","Sim")</f>
        <v>Não</v>
      </c>
      <c r="L188" s="119">
        <v>17</v>
      </c>
    </row>
    <row r="189" spans="1:12" ht="26.4" x14ac:dyDescent="0.3">
      <c r="A189" s="4" t="s">
        <v>865</v>
      </c>
      <c r="B189" s="4" t="s">
        <v>239</v>
      </c>
      <c r="C189" s="5" t="s">
        <v>292</v>
      </c>
      <c r="D189" s="5" t="s">
        <v>303</v>
      </c>
      <c r="E189" s="5" t="str">
        <f t="shared" si="2"/>
        <v>GG11</v>
      </c>
      <c r="F189" s="5" t="s">
        <v>304</v>
      </c>
      <c r="G189" s="102" t="s">
        <v>305</v>
      </c>
      <c r="H189" s="96" t="s">
        <v>12</v>
      </c>
      <c r="I189" s="97">
        <v>0</v>
      </c>
      <c r="J189" s="97"/>
      <c r="K189" s="121" t="str">
        <f>IF(consolidado[[#This Row],[Observações]]="","Não","Sim")</f>
        <v>Não</v>
      </c>
      <c r="L189" s="119" t="s">
        <v>608</v>
      </c>
    </row>
    <row r="190" spans="1:12" ht="26.4" x14ac:dyDescent="0.3">
      <c r="A190" s="4" t="s">
        <v>865</v>
      </c>
      <c r="B190" s="4" t="s">
        <v>239</v>
      </c>
      <c r="C190" s="5" t="s">
        <v>292</v>
      </c>
      <c r="D190" s="5" t="s">
        <v>303</v>
      </c>
      <c r="E190" s="5" t="str">
        <f t="shared" si="2"/>
        <v>GG11</v>
      </c>
      <c r="F190" s="5" t="s">
        <v>304</v>
      </c>
      <c r="G190" s="102" t="s">
        <v>306</v>
      </c>
      <c r="H190" s="96" t="s">
        <v>16</v>
      </c>
      <c r="I190" s="97">
        <v>6</v>
      </c>
      <c r="J190" s="97"/>
      <c r="K190" s="121" t="str">
        <f>IF(consolidado[[#This Row],[Observações]]="","Não","Sim")</f>
        <v>Não</v>
      </c>
      <c r="L190" s="119" t="s">
        <v>608</v>
      </c>
    </row>
    <row r="191" spans="1:12" ht="26.4" x14ac:dyDescent="0.3">
      <c r="A191" s="4" t="s">
        <v>865</v>
      </c>
      <c r="B191" s="4" t="s">
        <v>239</v>
      </c>
      <c r="C191" s="5" t="s">
        <v>292</v>
      </c>
      <c r="D191" s="5" t="s">
        <v>303</v>
      </c>
      <c r="E191" s="5" t="str">
        <f t="shared" si="2"/>
        <v>GG11</v>
      </c>
      <c r="F191" s="5" t="s">
        <v>304</v>
      </c>
      <c r="G191" s="102" t="s">
        <v>307</v>
      </c>
      <c r="H191" s="96" t="s">
        <v>18</v>
      </c>
      <c r="I191" s="97">
        <v>8</v>
      </c>
      <c r="J191" s="97"/>
      <c r="K191" s="121" t="str">
        <f>IF(consolidado[[#This Row],[Observações]]="","Não","Sim")</f>
        <v>Não</v>
      </c>
      <c r="L191" s="119" t="s">
        <v>608</v>
      </c>
    </row>
    <row r="192" spans="1:12" ht="28.8" x14ac:dyDescent="0.3">
      <c r="A192" s="4" t="s">
        <v>865</v>
      </c>
      <c r="B192" s="4" t="s">
        <v>239</v>
      </c>
      <c r="C192" s="5" t="s">
        <v>292</v>
      </c>
      <c r="D192" s="5" t="s">
        <v>303</v>
      </c>
      <c r="E192" s="5" t="str">
        <f t="shared" si="2"/>
        <v>GG11</v>
      </c>
      <c r="F192" s="5" t="s">
        <v>304</v>
      </c>
      <c r="G192" s="102" t="s">
        <v>308</v>
      </c>
      <c r="H192" s="96" t="s">
        <v>20</v>
      </c>
      <c r="I192" s="97">
        <v>10</v>
      </c>
      <c r="J192" s="97"/>
      <c r="K192" s="121" t="str">
        <f>IF(consolidado[[#This Row],[Observações]]="","Não","Sim")</f>
        <v>Não</v>
      </c>
      <c r="L192" s="119" t="s">
        <v>608</v>
      </c>
    </row>
    <row r="193" spans="1:12" ht="39.6" x14ac:dyDescent="0.3">
      <c r="A193" s="4" t="s">
        <v>865</v>
      </c>
      <c r="B193" s="4" t="s">
        <v>239</v>
      </c>
      <c r="C193" s="5" t="s">
        <v>309</v>
      </c>
      <c r="D193" s="5" t="s">
        <v>310</v>
      </c>
      <c r="E193" s="5" t="str">
        <f t="shared" si="2"/>
        <v>GG12</v>
      </c>
      <c r="F193" s="5" t="s">
        <v>311</v>
      </c>
      <c r="G193" s="102" t="s">
        <v>312</v>
      </c>
      <c r="H193" s="96" t="s">
        <v>12</v>
      </c>
      <c r="I193" s="97">
        <v>0</v>
      </c>
      <c r="J193" s="97"/>
      <c r="K193" s="121" t="str">
        <f>IF(consolidado[[#This Row],[Observações]]="","Não","Sim")</f>
        <v>Não</v>
      </c>
      <c r="L193" s="119" t="s">
        <v>607</v>
      </c>
    </row>
    <row r="194" spans="1:12" ht="39.6" x14ac:dyDescent="0.3">
      <c r="A194" s="4" t="s">
        <v>865</v>
      </c>
      <c r="B194" s="4" t="s">
        <v>239</v>
      </c>
      <c r="C194" s="5" t="s">
        <v>309</v>
      </c>
      <c r="D194" s="5" t="s">
        <v>310</v>
      </c>
      <c r="E194" s="5" t="str">
        <f t="shared" si="2"/>
        <v>GG12</v>
      </c>
      <c r="F194" s="5" t="s">
        <v>311</v>
      </c>
      <c r="G194" s="102" t="s">
        <v>313</v>
      </c>
      <c r="H194" s="96" t="s">
        <v>14</v>
      </c>
      <c r="I194" s="97">
        <v>4</v>
      </c>
      <c r="J194" s="97"/>
      <c r="K194" s="121" t="str">
        <f>IF(consolidado[[#This Row],[Observações]]="","Não","Sim")</f>
        <v>Não</v>
      </c>
      <c r="L194" s="119" t="s">
        <v>607</v>
      </c>
    </row>
    <row r="195" spans="1:12" ht="39.6" x14ac:dyDescent="0.3">
      <c r="A195" s="4" t="s">
        <v>865</v>
      </c>
      <c r="B195" s="4" t="s">
        <v>239</v>
      </c>
      <c r="C195" s="5" t="s">
        <v>309</v>
      </c>
      <c r="D195" s="5" t="s">
        <v>310</v>
      </c>
      <c r="E195" s="5" t="str">
        <f t="shared" ref="E195:E258" si="3">SUBSTITUTE(D195," ","")</f>
        <v>GG12</v>
      </c>
      <c r="F195" s="5" t="s">
        <v>311</v>
      </c>
      <c r="G195" s="102" t="s">
        <v>314</v>
      </c>
      <c r="H195" s="96" t="s">
        <v>16</v>
      </c>
      <c r="I195" s="97">
        <v>6</v>
      </c>
      <c r="J195" s="97"/>
      <c r="K195" s="121" t="str">
        <f>IF(consolidado[[#This Row],[Observações]]="","Não","Sim")</f>
        <v>Não</v>
      </c>
      <c r="L195" s="119" t="s">
        <v>607</v>
      </c>
    </row>
    <row r="196" spans="1:12" ht="39.6" x14ac:dyDescent="0.3">
      <c r="A196" s="4" t="s">
        <v>865</v>
      </c>
      <c r="B196" s="4" t="s">
        <v>239</v>
      </c>
      <c r="C196" s="5" t="s">
        <v>309</v>
      </c>
      <c r="D196" s="5" t="s">
        <v>310</v>
      </c>
      <c r="E196" s="5" t="str">
        <f t="shared" si="3"/>
        <v>GG12</v>
      </c>
      <c r="F196" s="5" t="s">
        <v>311</v>
      </c>
      <c r="G196" s="102" t="s">
        <v>315</v>
      </c>
      <c r="H196" s="96" t="s">
        <v>18</v>
      </c>
      <c r="I196" s="97">
        <v>8</v>
      </c>
      <c r="J196" s="97"/>
      <c r="K196" s="121" t="str">
        <f>IF(consolidado[[#This Row],[Observações]]="","Não","Sim")</f>
        <v>Não</v>
      </c>
      <c r="L196" s="119" t="s">
        <v>607</v>
      </c>
    </row>
    <row r="197" spans="1:12" ht="39.6" x14ac:dyDescent="0.3">
      <c r="A197" s="4" t="s">
        <v>865</v>
      </c>
      <c r="B197" s="4" t="s">
        <v>239</v>
      </c>
      <c r="C197" s="5" t="s">
        <v>309</v>
      </c>
      <c r="D197" s="5" t="s">
        <v>310</v>
      </c>
      <c r="E197" s="5" t="str">
        <f t="shared" si="3"/>
        <v>GG12</v>
      </c>
      <c r="F197" s="5" t="s">
        <v>311</v>
      </c>
      <c r="G197" s="102" t="s">
        <v>316</v>
      </c>
      <c r="H197" s="96" t="s">
        <v>20</v>
      </c>
      <c r="I197" s="97">
        <v>10</v>
      </c>
      <c r="J197" s="97"/>
      <c r="K197" s="121" t="str">
        <f>IF(consolidado[[#This Row],[Observações]]="","Não","Sim")</f>
        <v>Não</v>
      </c>
      <c r="L197" s="119" t="s">
        <v>607</v>
      </c>
    </row>
    <row r="198" spans="1:12" ht="26.4" x14ac:dyDescent="0.3">
      <c r="A198" s="4" t="s">
        <v>865</v>
      </c>
      <c r="B198" s="4" t="s">
        <v>239</v>
      </c>
      <c r="C198" s="5" t="s">
        <v>309</v>
      </c>
      <c r="D198" s="5" t="s">
        <v>317</v>
      </c>
      <c r="E198" s="5" t="str">
        <f t="shared" si="3"/>
        <v>GG13</v>
      </c>
      <c r="F198" s="5" t="s">
        <v>318</v>
      </c>
      <c r="G198" s="102" t="s">
        <v>319</v>
      </c>
      <c r="H198" s="96" t="s">
        <v>12</v>
      </c>
      <c r="I198" s="97">
        <v>0</v>
      </c>
      <c r="J198" s="97"/>
      <c r="K198" s="121" t="str">
        <f>IF(consolidado[[#This Row],[Observações]]="","Não","Sim")</f>
        <v>Não</v>
      </c>
      <c r="L198" s="119">
        <v>16</v>
      </c>
    </row>
    <row r="199" spans="1:12" ht="28.8" x14ac:dyDescent="0.3">
      <c r="A199" s="4" t="s">
        <v>865</v>
      </c>
      <c r="B199" s="4" t="s">
        <v>239</v>
      </c>
      <c r="C199" s="5" t="s">
        <v>309</v>
      </c>
      <c r="D199" s="5" t="s">
        <v>317</v>
      </c>
      <c r="E199" s="5" t="str">
        <f t="shared" si="3"/>
        <v>GG13</v>
      </c>
      <c r="F199" s="5" t="s">
        <v>318</v>
      </c>
      <c r="G199" s="102" t="s">
        <v>320</v>
      </c>
      <c r="H199" s="96" t="s">
        <v>14</v>
      </c>
      <c r="I199" s="97">
        <v>4</v>
      </c>
      <c r="J199" s="97"/>
      <c r="K199" s="121" t="str">
        <f>IF(consolidado[[#This Row],[Observações]]="","Não","Sim")</f>
        <v>Não</v>
      </c>
      <c r="L199" s="119">
        <v>16</v>
      </c>
    </row>
    <row r="200" spans="1:12" ht="28.8" x14ac:dyDescent="0.3">
      <c r="A200" s="4" t="s">
        <v>865</v>
      </c>
      <c r="B200" s="4" t="s">
        <v>239</v>
      </c>
      <c r="C200" s="5" t="s">
        <v>309</v>
      </c>
      <c r="D200" s="5" t="s">
        <v>317</v>
      </c>
      <c r="E200" s="5" t="str">
        <f t="shared" si="3"/>
        <v>GG13</v>
      </c>
      <c r="F200" s="5" t="s">
        <v>318</v>
      </c>
      <c r="G200" s="102" t="s">
        <v>321</v>
      </c>
      <c r="H200" s="96" t="s">
        <v>16</v>
      </c>
      <c r="I200" s="97">
        <v>6</v>
      </c>
      <c r="J200" s="97"/>
      <c r="K200" s="121" t="str">
        <f>IF(consolidado[[#This Row],[Observações]]="","Não","Sim")</f>
        <v>Não</v>
      </c>
      <c r="L200" s="119">
        <v>16</v>
      </c>
    </row>
    <row r="201" spans="1:12" ht="43.2" x14ac:dyDescent="0.3">
      <c r="A201" s="4" t="s">
        <v>865</v>
      </c>
      <c r="B201" s="4" t="s">
        <v>239</v>
      </c>
      <c r="C201" s="5" t="s">
        <v>309</v>
      </c>
      <c r="D201" s="5" t="s">
        <v>317</v>
      </c>
      <c r="E201" s="5" t="str">
        <f t="shared" si="3"/>
        <v>GG13</v>
      </c>
      <c r="F201" s="5" t="s">
        <v>318</v>
      </c>
      <c r="G201" s="102" t="s">
        <v>322</v>
      </c>
      <c r="H201" s="96" t="s">
        <v>18</v>
      </c>
      <c r="I201" s="97">
        <v>8</v>
      </c>
      <c r="J201" s="97"/>
      <c r="K201" s="121" t="str">
        <f>IF(consolidado[[#This Row],[Observações]]="","Não","Sim")</f>
        <v>Não</v>
      </c>
      <c r="L201" s="119">
        <v>16</v>
      </c>
    </row>
    <row r="202" spans="1:12" ht="43.2" x14ac:dyDescent="0.3">
      <c r="A202" s="4" t="s">
        <v>865</v>
      </c>
      <c r="B202" s="4" t="s">
        <v>239</v>
      </c>
      <c r="C202" s="5" t="s">
        <v>309</v>
      </c>
      <c r="D202" s="5" t="s">
        <v>317</v>
      </c>
      <c r="E202" s="5" t="str">
        <f t="shared" si="3"/>
        <v>GG13</v>
      </c>
      <c r="F202" s="5" t="s">
        <v>318</v>
      </c>
      <c r="G202" s="102" t="s">
        <v>323</v>
      </c>
      <c r="H202" s="96" t="s">
        <v>20</v>
      </c>
      <c r="I202" s="97">
        <v>10</v>
      </c>
      <c r="J202" s="97"/>
      <c r="K202" s="121" t="str">
        <f>IF(consolidado[[#This Row],[Observações]]="","Não","Sim")</f>
        <v>Não</v>
      </c>
      <c r="L202" s="119">
        <v>16</v>
      </c>
    </row>
    <row r="203" spans="1:12" ht="28.8" x14ac:dyDescent="0.3">
      <c r="A203" s="4" t="s">
        <v>865</v>
      </c>
      <c r="B203" s="4" t="s">
        <v>239</v>
      </c>
      <c r="C203" s="5" t="s">
        <v>324</v>
      </c>
      <c r="D203" s="5" t="s">
        <v>325</v>
      </c>
      <c r="E203" s="5" t="str">
        <f t="shared" si="3"/>
        <v>GG14</v>
      </c>
      <c r="F203" s="5" t="s">
        <v>326</v>
      </c>
      <c r="G203" s="102" t="s">
        <v>327</v>
      </c>
      <c r="H203" s="96" t="s">
        <v>12</v>
      </c>
      <c r="I203" s="97">
        <v>0</v>
      </c>
      <c r="J203" s="97"/>
      <c r="K203" s="121" t="str">
        <f>IF(consolidado[[#This Row],[Observações]]="","Não","Sim")</f>
        <v>Não</v>
      </c>
      <c r="L203" s="119" t="s">
        <v>607</v>
      </c>
    </row>
    <row r="204" spans="1:12" ht="28.8" x14ac:dyDescent="0.3">
      <c r="A204" s="4" t="s">
        <v>865</v>
      </c>
      <c r="B204" s="4" t="s">
        <v>239</v>
      </c>
      <c r="C204" s="5" t="s">
        <v>324</v>
      </c>
      <c r="D204" s="5" t="s">
        <v>325</v>
      </c>
      <c r="E204" s="5" t="str">
        <f t="shared" si="3"/>
        <v>GG14</v>
      </c>
      <c r="F204" s="5" t="s">
        <v>326</v>
      </c>
      <c r="G204" s="102" t="s">
        <v>328</v>
      </c>
      <c r="H204" s="96" t="s">
        <v>14</v>
      </c>
      <c r="I204" s="97">
        <v>4</v>
      </c>
      <c r="J204" s="97"/>
      <c r="K204" s="121" t="str">
        <f>IF(consolidado[[#This Row],[Observações]]="","Não","Sim")</f>
        <v>Não</v>
      </c>
      <c r="L204" s="119" t="s">
        <v>607</v>
      </c>
    </row>
    <row r="205" spans="1:12" ht="43.2" x14ac:dyDescent="0.3">
      <c r="A205" s="4" t="s">
        <v>865</v>
      </c>
      <c r="B205" s="4" t="s">
        <v>239</v>
      </c>
      <c r="C205" s="5" t="s">
        <v>324</v>
      </c>
      <c r="D205" s="5" t="s">
        <v>325</v>
      </c>
      <c r="E205" s="5" t="str">
        <f t="shared" si="3"/>
        <v>GG14</v>
      </c>
      <c r="F205" s="5" t="s">
        <v>326</v>
      </c>
      <c r="G205" s="102" t="s">
        <v>329</v>
      </c>
      <c r="H205" s="96" t="s">
        <v>16</v>
      </c>
      <c r="I205" s="97">
        <v>6</v>
      </c>
      <c r="J205" s="97"/>
      <c r="K205" s="121" t="str">
        <f>IF(consolidado[[#This Row],[Observações]]="","Não","Sim")</f>
        <v>Não</v>
      </c>
      <c r="L205" s="119" t="s">
        <v>607</v>
      </c>
    </row>
    <row r="206" spans="1:12" ht="28.8" x14ac:dyDescent="0.3">
      <c r="A206" s="4" t="s">
        <v>865</v>
      </c>
      <c r="B206" s="4" t="s">
        <v>239</v>
      </c>
      <c r="C206" s="5" t="s">
        <v>324</v>
      </c>
      <c r="D206" s="5" t="s">
        <v>325</v>
      </c>
      <c r="E206" s="5" t="str">
        <f t="shared" si="3"/>
        <v>GG14</v>
      </c>
      <c r="F206" s="5" t="s">
        <v>326</v>
      </c>
      <c r="G206" s="102" t="s">
        <v>330</v>
      </c>
      <c r="H206" s="96" t="s">
        <v>18</v>
      </c>
      <c r="I206" s="97">
        <v>8</v>
      </c>
      <c r="J206" s="97"/>
      <c r="K206" s="121" t="str">
        <f>IF(consolidado[[#This Row],[Observações]]="","Não","Sim")</f>
        <v>Não</v>
      </c>
      <c r="L206" s="119" t="s">
        <v>607</v>
      </c>
    </row>
    <row r="207" spans="1:12" ht="28.8" x14ac:dyDescent="0.3">
      <c r="A207" s="4" t="s">
        <v>865</v>
      </c>
      <c r="B207" s="4" t="s">
        <v>239</v>
      </c>
      <c r="C207" s="5" t="s">
        <v>324</v>
      </c>
      <c r="D207" s="5" t="s">
        <v>325</v>
      </c>
      <c r="E207" s="5" t="str">
        <f t="shared" si="3"/>
        <v>GG14</v>
      </c>
      <c r="F207" s="5" t="s">
        <v>326</v>
      </c>
      <c r="G207" s="102" t="s">
        <v>331</v>
      </c>
      <c r="H207" s="96" t="s">
        <v>20</v>
      </c>
      <c r="I207" s="97">
        <v>10</v>
      </c>
      <c r="J207" s="97"/>
      <c r="K207" s="121" t="str">
        <f>IF(consolidado[[#This Row],[Observações]]="","Não","Sim")</f>
        <v>Não</v>
      </c>
      <c r="L207" s="119" t="s">
        <v>607</v>
      </c>
    </row>
    <row r="208" spans="1:12" ht="26.4" x14ac:dyDescent="0.3">
      <c r="A208" s="4" t="s">
        <v>865</v>
      </c>
      <c r="B208" s="4" t="s">
        <v>239</v>
      </c>
      <c r="C208" s="5" t="s">
        <v>324</v>
      </c>
      <c r="D208" s="5" t="s">
        <v>332</v>
      </c>
      <c r="E208" s="5" t="str">
        <f t="shared" si="3"/>
        <v>GG15</v>
      </c>
      <c r="F208" s="5" t="s">
        <v>333</v>
      </c>
      <c r="G208" s="102" t="s">
        <v>334</v>
      </c>
      <c r="H208" s="96" t="s">
        <v>12</v>
      </c>
      <c r="I208" s="97">
        <v>0</v>
      </c>
      <c r="J208" s="97"/>
      <c r="K208" s="121" t="str">
        <f>IF(consolidado[[#This Row],[Observações]]="","Não","Sim")</f>
        <v>Não</v>
      </c>
      <c r="L208" s="119" t="s">
        <v>607</v>
      </c>
    </row>
    <row r="209" spans="1:12" ht="26.4" x14ac:dyDescent="0.3">
      <c r="A209" s="4" t="s">
        <v>865</v>
      </c>
      <c r="B209" s="4" t="s">
        <v>239</v>
      </c>
      <c r="C209" s="5" t="s">
        <v>324</v>
      </c>
      <c r="D209" s="5" t="s">
        <v>332</v>
      </c>
      <c r="E209" s="5" t="str">
        <f t="shared" si="3"/>
        <v>GG15</v>
      </c>
      <c r="F209" s="5" t="s">
        <v>333</v>
      </c>
      <c r="G209" s="102" t="s">
        <v>335</v>
      </c>
      <c r="H209" s="96" t="s">
        <v>16</v>
      </c>
      <c r="I209" s="97">
        <v>6</v>
      </c>
      <c r="J209" s="97"/>
      <c r="K209" s="121" t="str">
        <f>IF(consolidado[[#This Row],[Observações]]="","Não","Sim")</f>
        <v>Não</v>
      </c>
      <c r="L209" s="119" t="s">
        <v>607</v>
      </c>
    </row>
    <row r="210" spans="1:12" ht="28.8" x14ac:dyDescent="0.3">
      <c r="A210" s="4" t="s">
        <v>865</v>
      </c>
      <c r="B210" s="4" t="s">
        <v>239</v>
      </c>
      <c r="C210" s="5" t="s">
        <v>324</v>
      </c>
      <c r="D210" s="5" t="s">
        <v>332</v>
      </c>
      <c r="E210" s="5" t="str">
        <f t="shared" si="3"/>
        <v>GG15</v>
      </c>
      <c r="F210" s="5" t="s">
        <v>333</v>
      </c>
      <c r="G210" s="102" t="s">
        <v>336</v>
      </c>
      <c r="H210" s="96" t="s">
        <v>18</v>
      </c>
      <c r="I210" s="97">
        <v>8</v>
      </c>
      <c r="J210" s="97"/>
      <c r="K210" s="121" t="str">
        <f>IF(consolidado[[#This Row],[Observações]]="","Não","Sim")</f>
        <v>Não</v>
      </c>
      <c r="L210" s="119" t="s">
        <v>607</v>
      </c>
    </row>
    <row r="211" spans="1:12" ht="28.8" x14ac:dyDescent="0.3">
      <c r="A211" s="4" t="s">
        <v>865</v>
      </c>
      <c r="B211" s="4" t="s">
        <v>239</v>
      </c>
      <c r="C211" s="5" t="s">
        <v>324</v>
      </c>
      <c r="D211" s="5" t="s">
        <v>332</v>
      </c>
      <c r="E211" s="5" t="str">
        <f t="shared" si="3"/>
        <v>GG15</v>
      </c>
      <c r="F211" s="5" t="s">
        <v>333</v>
      </c>
      <c r="G211" s="102" t="s">
        <v>337</v>
      </c>
      <c r="H211" s="96" t="s">
        <v>20</v>
      </c>
      <c r="I211" s="97">
        <v>10</v>
      </c>
      <c r="J211" s="97"/>
      <c r="K211" s="121" t="str">
        <f>IF(consolidado[[#This Row],[Observações]]="","Não","Sim")</f>
        <v>Não</v>
      </c>
      <c r="L211" s="119" t="s">
        <v>607</v>
      </c>
    </row>
    <row r="212" spans="1:12" ht="28.8" x14ac:dyDescent="0.3">
      <c r="A212" s="4" t="s">
        <v>865</v>
      </c>
      <c r="B212" s="4" t="s">
        <v>239</v>
      </c>
      <c r="C212" s="5" t="s">
        <v>338</v>
      </c>
      <c r="D212" s="5" t="s">
        <v>339</v>
      </c>
      <c r="E212" s="5" t="str">
        <f t="shared" si="3"/>
        <v>GG16</v>
      </c>
      <c r="F212" s="5" t="s">
        <v>340</v>
      </c>
      <c r="G212" s="102" t="s">
        <v>341</v>
      </c>
      <c r="H212" s="96" t="s">
        <v>12</v>
      </c>
      <c r="I212" s="97">
        <v>0</v>
      </c>
      <c r="J212" s="97"/>
      <c r="K212" s="121" t="str">
        <f>IF(consolidado[[#This Row],[Observações]]="","Não","Sim")</f>
        <v>Não</v>
      </c>
      <c r="L212" s="119" t="s">
        <v>609</v>
      </c>
    </row>
    <row r="213" spans="1:12" ht="28.8" x14ac:dyDescent="0.3">
      <c r="A213" s="4" t="s">
        <v>865</v>
      </c>
      <c r="B213" s="4" t="s">
        <v>239</v>
      </c>
      <c r="C213" s="5" t="s">
        <v>338</v>
      </c>
      <c r="D213" s="5" t="s">
        <v>339</v>
      </c>
      <c r="E213" s="5" t="str">
        <f t="shared" si="3"/>
        <v>GG16</v>
      </c>
      <c r="F213" s="5" t="s">
        <v>340</v>
      </c>
      <c r="G213" s="102" t="s">
        <v>342</v>
      </c>
      <c r="H213" s="96" t="s">
        <v>18</v>
      </c>
      <c r="I213" s="97">
        <v>8</v>
      </c>
      <c r="J213" s="97"/>
      <c r="K213" s="121" t="str">
        <f>IF(consolidado[[#This Row],[Observações]]="","Não","Sim")</f>
        <v>Não</v>
      </c>
      <c r="L213" s="119" t="s">
        <v>609</v>
      </c>
    </row>
    <row r="214" spans="1:12" ht="28.8" x14ac:dyDescent="0.3">
      <c r="A214" s="4" t="s">
        <v>865</v>
      </c>
      <c r="B214" s="4" t="s">
        <v>239</v>
      </c>
      <c r="C214" s="5" t="s">
        <v>338</v>
      </c>
      <c r="D214" s="5" t="s">
        <v>339</v>
      </c>
      <c r="E214" s="5" t="str">
        <f t="shared" si="3"/>
        <v>GG16</v>
      </c>
      <c r="F214" s="5" t="s">
        <v>340</v>
      </c>
      <c r="G214" s="102" t="s">
        <v>343</v>
      </c>
      <c r="H214" s="96" t="s">
        <v>20</v>
      </c>
      <c r="I214" s="97">
        <v>10</v>
      </c>
      <c r="J214" s="97"/>
      <c r="K214" s="121" t="str">
        <f>IF(consolidado[[#This Row],[Observações]]="","Não","Sim")</f>
        <v>Não</v>
      </c>
      <c r="L214" s="119" t="s">
        <v>609</v>
      </c>
    </row>
    <row r="215" spans="1:12" ht="26.4" x14ac:dyDescent="0.3">
      <c r="A215" s="4" t="s">
        <v>865</v>
      </c>
      <c r="B215" s="4" t="s">
        <v>239</v>
      </c>
      <c r="C215" s="5" t="s">
        <v>344</v>
      </c>
      <c r="D215" s="5" t="s">
        <v>345</v>
      </c>
      <c r="E215" s="5" t="str">
        <f t="shared" si="3"/>
        <v>GG17</v>
      </c>
      <c r="F215" s="5" t="s">
        <v>346</v>
      </c>
      <c r="G215" s="102" t="s">
        <v>347</v>
      </c>
      <c r="H215" s="96" t="s">
        <v>12</v>
      </c>
      <c r="I215" s="97">
        <v>0</v>
      </c>
      <c r="J215" s="97"/>
      <c r="K215" s="121" t="str">
        <f>IF(consolidado[[#This Row],[Observações]]="","Não","Sim")</f>
        <v>Não</v>
      </c>
      <c r="L215" s="119">
        <v>16</v>
      </c>
    </row>
    <row r="216" spans="1:12" ht="28.8" x14ac:dyDescent="0.3">
      <c r="A216" s="4" t="s">
        <v>865</v>
      </c>
      <c r="B216" s="4" t="s">
        <v>239</v>
      </c>
      <c r="C216" s="5" t="s">
        <v>344</v>
      </c>
      <c r="D216" s="5" t="s">
        <v>345</v>
      </c>
      <c r="E216" s="5" t="str">
        <f t="shared" si="3"/>
        <v>GG17</v>
      </c>
      <c r="F216" s="5" t="s">
        <v>346</v>
      </c>
      <c r="G216" s="102" t="s">
        <v>348</v>
      </c>
      <c r="H216" s="96" t="s">
        <v>16</v>
      </c>
      <c r="I216" s="97">
        <v>6</v>
      </c>
      <c r="J216" s="97"/>
      <c r="K216" s="121" t="str">
        <f>IF(consolidado[[#This Row],[Observações]]="","Não","Sim")</f>
        <v>Não</v>
      </c>
      <c r="L216" s="119">
        <v>16</v>
      </c>
    </row>
    <row r="217" spans="1:12" ht="26.4" x14ac:dyDescent="0.3">
      <c r="A217" s="4" t="s">
        <v>865</v>
      </c>
      <c r="B217" s="4" t="s">
        <v>239</v>
      </c>
      <c r="C217" s="5" t="s">
        <v>344</v>
      </c>
      <c r="D217" s="5" t="s">
        <v>345</v>
      </c>
      <c r="E217" s="5" t="str">
        <f t="shared" si="3"/>
        <v>GG17</v>
      </c>
      <c r="F217" s="5" t="s">
        <v>346</v>
      </c>
      <c r="G217" s="102" t="s">
        <v>349</v>
      </c>
      <c r="H217" s="96" t="s">
        <v>18</v>
      </c>
      <c r="I217" s="97">
        <v>8</v>
      </c>
      <c r="J217" s="97"/>
      <c r="K217" s="121" t="str">
        <f>IF(consolidado[[#This Row],[Observações]]="","Não","Sim")</f>
        <v>Não</v>
      </c>
      <c r="L217" s="119">
        <v>16</v>
      </c>
    </row>
    <row r="218" spans="1:12" ht="28.8" x14ac:dyDescent="0.3">
      <c r="A218" s="4" t="s">
        <v>865</v>
      </c>
      <c r="B218" s="4" t="s">
        <v>239</v>
      </c>
      <c r="C218" s="5" t="s">
        <v>344</v>
      </c>
      <c r="D218" s="5" t="s">
        <v>345</v>
      </c>
      <c r="E218" s="5" t="str">
        <f t="shared" si="3"/>
        <v>GG17</v>
      </c>
      <c r="F218" s="5" t="s">
        <v>346</v>
      </c>
      <c r="G218" s="102" t="s">
        <v>350</v>
      </c>
      <c r="H218" s="96" t="s">
        <v>20</v>
      </c>
      <c r="I218" s="97">
        <v>10</v>
      </c>
      <c r="J218" s="97"/>
      <c r="K218" s="121" t="str">
        <f>IF(consolidado[[#This Row],[Observações]]="","Não","Sim")</f>
        <v>Não</v>
      </c>
      <c r="L218" s="119">
        <v>16</v>
      </c>
    </row>
    <row r="219" spans="1:12" ht="26.4" x14ac:dyDescent="0.3">
      <c r="A219" s="4" t="s">
        <v>865</v>
      </c>
      <c r="B219" s="4" t="s">
        <v>239</v>
      </c>
      <c r="C219" s="5" t="s">
        <v>344</v>
      </c>
      <c r="D219" s="5" t="s">
        <v>351</v>
      </c>
      <c r="E219" s="5" t="str">
        <f t="shared" si="3"/>
        <v>GG18</v>
      </c>
      <c r="F219" s="5" t="s">
        <v>352</v>
      </c>
      <c r="G219" s="102" t="s">
        <v>353</v>
      </c>
      <c r="H219" s="96" t="s">
        <v>12</v>
      </c>
      <c r="I219" s="97">
        <v>0</v>
      </c>
      <c r="J219" s="97"/>
      <c r="K219" s="121" t="str">
        <f>IF(consolidado[[#This Row],[Observações]]="","Não","Sim")</f>
        <v>Não</v>
      </c>
      <c r="L219" s="119">
        <v>16</v>
      </c>
    </row>
    <row r="220" spans="1:12" ht="28.8" x14ac:dyDescent="0.3">
      <c r="A220" s="4" t="s">
        <v>865</v>
      </c>
      <c r="B220" s="4" t="s">
        <v>239</v>
      </c>
      <c r="C220" s="5" t="s">
        <v>344</v>
      </c>
      <c r="D220" s="5" t="s">
        <v>351</v>
      </c>
      <c r="E220" s="5" t="str">
        <f t="shared" si="3"/>
        <v>GG18</v>
      </c>
      <c r="F220" s="5" t="s">
        <v>352</v>
      </c>
      <c r="G220" s="102" t="s">
        <v>354</v>
      </c>
      <c r="H220" s="96" t="s">
        <v>16</v>
      </c>
      <c r="I220" s="97">
        <v>6</v>
      </c>
      <c r="J220" s="97"/>
      <c r="K220" s="121" t="str">
        <f>IF(consolidado[[#This Row],[Observações]]="","Não","Sim")</f>
        <v>Não</v>
      </c>
      <c r="L220" s="119">
        <v>16</v>
      </c>
    </row>
    <row r="221" spans="1:12" ht="28.8" x14ac:dyDescent="0.3">
      <c r="A221" s="4" t="s">
        <v>865</v>
      </c>
      <c r="B221" s="4" t="s">
        <v>239</v>
      </c>
      <c r="C221" s="5" t="s">
        <v>344</v>
      </c>
      <c r="D221" s="5" t="s">
        <v>351</v>
      </c>
      <c r="E221" s="5" t="str">
        <f t="shared" si="3"/>
        <v>GG18</v>
      </c>
      <c r="F221" s="5" t="s">
        <v>352</v>
      </c>
      <c r="G221" s="102" t="s">
        <v>355</v>
      </c>
      <c r="H221" s="96" t="s">
        <v>18</v>
      </c>
      <c r="I221" s="97">
        <v>8</v>
      </c>
      <c r="J221" s="97"/>
      <c r="K221" s="121" t="str">
        <f>IF(consolidado[[#This Row],[Observações]]="","Não","Sim")</f>
        <v>Não</v>
      </c>
      <c r="L221" s="119">
        <v>16</v>
      </c>
    </row>
    <row r="222" spans="1:12" ht="28.8" x14ac:dyDescent="0.3">
      <c r="A222" s="4" t="s">
        <v>865</v>
      </c>
      <c r="B222" s="4" t="s">
        <v>239</v>
      </c>
      <c r="C222" s="5" t="s">
        <v>344</v>
      </c>
      <c r="D222" s="5" t="s">
        <v>351</v>
      </c>
      <c r="E222" s="5" t="str">
        <f t="shared" si="3"/>
        <v>GG18</v>
      </c>
      <c r="F222" s="5" t="s">
        <v>352</v>
      </c>
      <c r="G222" s="102" t="s">
        <v>356</v>
      </c>
      <c r="H222" s="96" t="s">
        <v>20</v>
      </c>
      <c r="I222" s="97">
        <v>10</v>
      </c>
      <c r="J222" s="97"/>
      <c r="K222" s="121" t="str">
        <f>IF(consolidado[[#This Row],[Observações]]="","Não","Sim")</f>
        <v>Não</v>
      </c>
      <c r="L222" s="119">
        <v>16</v>
      </c>
    </row>
    <row r="223" spans="1:12" ht="26.4" x14ac:dyDescent="0.3">
      <c r="A223" s="4" t="s">
        <v>865</v>
      </c>
      <c r="B223" s="4" t="s">
        <v>239</v>
      </c>
      <c r="C223" s="5" t="s">
        <v>357</v>
      </c>
      <c r="D223" s="5" t="s">
        <v>358</v>
      </c>
      <c r="E223" s="5" t="str">
        <f t="shared" si="3"/>
        <v>GG19</v>
      </c>
      <c r="F223" s="5" t="s">
        <v>359</v>
      </c>
      <c r="G223" s="102" t="s">
        <v>360</v>
      </c>
      <c r="H223" s="96" t="s">
        <v>12</v>
      </c>
      <c r="I223" s="97">
        <v>0</v>
      </c>
      <c r="J223" s="97"/>
      <c r="K223" s="121" t="str">
        <f>IF(consolidado[[#This Row],[Observações]]="","Não","Sim")</f>
        <v>Não</v>
      </c>
      <c r="L223" s="119">
        <v>9</v>
      </c>
    </row>
    <row r="224" spans="1:12" ht="28.8" x14ac:dyDescent="0.3">
      <c r="A224" s="4" t="s">
        <v>865</v>
      </c>
      <c r="B224" s="4" t="s">
        <v>239</v>
      </c>
      <c r="C224" s="5" t="s">
        <v>357</v>
      </c>
      <c r="D224" s="5" t="s">
        <v>358</v>
      </c>
      <c r="E224" s="5" t="str">
        <f t="shared" si="3"/>
        <v>GG19</v>
      </c>
      <c r="F224" s="5" t="s">
        <v>359</v>
      </c>
      <c r="G224" s="102" t="s">
        <v>361</v>
      </c>
      <c r="H224" s="96" t="s">
        <v>14</v>
      </c>
      <c r="I224" s="97">
        <v>4</v>
      </c>
      <c r="J224" s="97"/>
      <c r="K224" s="121" t="str">
        <f>IF(consolidado[[#This Row],[Observações]]="","Não","Sim")</f>
        <v>Não</v>
      </c>
      <c r="L224" s="119">
        <v>9</v>
      </c>
    </row>
    <row r="225" spans="1:12" ht="28.8" x14ac:dyDescent="0.3">
      <c r="A225" s="4" t="s">
        <v>865</v>
      </c>
      <c r="B225" s="4" t="s">
        <v>239</v>
      </c>
      <c r="C225" s="5" t="s">
        <v>357</v>
      </c>
      <c r="D225" s="5" t="s">
        <v>358</v>
      </c>
      <c r="E225" s="5" t="str">
        <f t="shared" si="3"/>
        <v>GG19</v>
      </c>
      <c r="F225" s="5" t="s">
        <v>359</v>
      </c>
      <c r="G225" s="102" t="s">
        <v>362</v>
      </c>
      <c r="H225" s="96" t="s">
        <v>16</v>
      </c>
      <c r="I225" s="97">
        <v>6</v>
      </c>
      <c r="J225" s="97"/>
      <c r="K225" s="121" t="str">
        <f>IF(consolidado[[#This Row],[Observações]]="","Não","Sim")</f>
        <v>Não</v>
      </c>
      <c r="L225" s="119">
        <v>9</v>
      </c>
    </row>
    <row r="226" spans="1:12" ht="28.8" x14ac:dyDescent="0.3">
      <c r="A226" s="4" t="s">
        <v>865</v>
      </c>
      <c r="B226" s="4" t="s">
        <v>239</v>
      </c>
      <c r="C226" s="5" t="s">
        <v>357</v>
      </c>
      <c r="D226" s="5" t="s">
        <v>358</v>
      </c>
      <c r="E226" s="5" t="str">
        <f t="shared" si="3"/>
        <v>GG19</v>
      </c>
      <c r="F226" s="5" t="s">
        <v>359</v>
      </c>
      <c r="G226" s="102" t="s">
        <v>363</v>
      </c>
      <c r="H226" s="96" t="s">
        <v>18</v>
      </c>
      <c r="I226" s="97">
        <v>8</v>
      </c>
      <c r="J226" s="97"/>
      <c r="K226" s="121" t="str">
        <f>IF(consolidado[[#This Row],[Observações]]="","Não","Sim")</f>
        <v>Não</v>
      </c>
      <c r="L226" s="119">
        <v>9</v>
      </c>
    </row>
    <row r="227" spans="1:12" ht="43.2" x14ac:dyDescent="0.3">
      <c r="A227" s="4" t="s">
        <v>865</v>
      </c>
      <c r="B227" s="4" t="s">
        <v>239</v>
      </c>
      <c r="C227" s="5" t="s">
        <v>357</v>
      </c>
      <c r="D227" s="5" t="s">
        <v>358</v>
      </c>
      <c r="E227" s="5" t="str">
        <f t="shared" si="3"/>
        <v>GG19</v>
      </c>
      <c r="F227" s="5" t="s">
        <v>359</v>
      </c>
      <c r="G227" s="102" t="s">
        <v>364</v>
      </c>
      <c r="H227" s="96" t="s">
        <v>20</v>
      </c>
      <c r="I227" s="97">
        <v>10</v>
      </c>
      <c r="J227" s="97"/>
      <c r="K227" s="121" t="str">
        <f>IF(consolidado[[#This Row],[Observações]]="","Não","Sim")</f>
        <v>Não</v>
      </c>
      <c r="L227" s="119">
        <v>9</v>
      </c>
    </row>
    <row r="228" spans="1:12" ht="26.4" x14ac:dyDescent="0.3">
      <c r="A228" s="4" t="s">
        <v>865</v>
      </c>
      <c r="B228" s="4" t="s">
        <v>239</v>
      </c>
      <c r="C228" s="5" t="s">
        <v>357</v>
      </c>
      <c r="D228" s="5" t="s">
        <v>365</v>
      </c>
      <c r="E228" s="5" t="str">
        <f t="shared" si="3"/>
        <v>GG20</v>
      </c>
      <c r="F228" s="5" t="s">
        <v>366</v>
      </c>
      <c r="G228" s="102" t="s">
        <v>367</v>
      </c>
      <c r="H228" s="96" t="s">
        <v>12</v>
      </c>
      <c r="I228" s="97">
        <v>0</v>
      </c>
      <c r="J228" s="97"/>
      <c r="K228" s="121" t="str">
        <f>IF(consolidado[[#This Row],[Observações]]="","Não","Sim")</f>
        <v>Não</v>
      </c>
      <c r="L228" s="119">
        <v>9</v>
      </c>
    </row>
    <row r="229" spans="1:12" ht="28.8" x14ac:dyDescent="0.3">
      <c r="A229" s="4" t="s">
        <v>865</v>
      </c>
      <c r="B229" s="4" t="s">
        <v>239</v>
      </c>
      <c r="C229" s="5" t="s">
        <v>357</v>
      </c>
      <c r="D229" s="5" t="s">
        <v>365</v>
      </c>
      <c r="E229" s="5" t="str">
        <f t="shared" si="3"/>
        <v>GG20</v>
      </c>
      <c r="F229" s="5" t="s">
        <v>366</v>
      </c>
      <c r="G229" s="102" t="s">
        <v>368</v>
      </c>
      <c r="H229" s="96" t="s">
        <v>14</v>
      </c>
      <c r="I229" s="97">
        <v>4</v>
      </c>
      <c r="J229" s="97"/>
      <c r="K229" s="121" t="str">
        <f>IF(consolidado[[#This Row],[Observações]]="","Não","Sim")</f>
        <v>Não</v>
      </c>
      <c r="L229" s="119">
        <v>9</v>
      </c>
    </row>
    <row r="230" spans="1:12" ht="28.8" x14ac:dyDescent="0.3">
      <c r="A230" s="4" t="s">
        <v>865</v>
      </c>
      <c r="B230" s="4" t="s">
        <v>239</v>
      </c>
      <c r="C230" s="5" t="s">
        <v>357</v>
      </c>
      <c r="D230" s="5" t="s">
        <v>365</v>
      </c>
      <c r="E230" s="5" t="str">
        <f t="shared" si="3"/>
        <v>GG20</v>
      </c>
      <c r="F230" s="5" t="s">
        <v>366</v>
      </c>
      <c r="G230" s="102" t="s">
        <v>369</v>
      </c>
      <c r="H230" s="96" t="s">
        <v>16</v>
      </c>
      <c r="I230" s="97">
        <v>6</v>
      </c>
      <c r="J230" s="97"/>
      <c r="K230" s="121" t="str">
        <f>IF(consolidado[[#This Row],[Observações]]="","Não","Sim")</f>
        <v>Não</v>
      </c>
      <c r="L230" s="119">
        <v>9</v>
      </c>
    </row>
    <row r="231" spans="1:12" ht="28.8" x14ac:dyDescent="0.3">
      <c r="A231" s="4" t="s">
        <v>865</v>
      </c>
      <c r="B231" s="4" t="s">
        <v>239</v>
      </c>
      <c r="C231" s="5" t="s">
        <v>357</v>
      </c>
      <c r="D231" s="5" t="s">
        <v>365</v>
      </c>
      <c r="E231" s="5" t="str">
        <f t="shared" si="3"/>
        <v>GG20</v>
      </c>
      <c r="F231" s="5" t="s">
        <v>366</v>
      </c>
      <c r="G231" s="102" t="s">
        <v>370</v>
      </c>
      <c r="H231" s="96" t="s">
        <v>18</v>
      </c>
      <c r="I231" s="97">
        <v>8</v>
      </c>
      <c r="J231" s="97"/>
      <c r="K231" s="121" t="str">
        <f>IF(consolidado[[#This Row],[Observações]]="","Não","Sim")</f>
        <v>Não</v>
      </c>
      <c r="L231" s="119">
        <v>9</v>
      </c>
    </row>
    <row r="232" spans="1:12" ht="28.8" x14ac:dyDescent="0.3">
      <c r="A232" s="4" t="s">
        <v>865</v>
      </c>
      <c r="B232" s="4" t="s">
        <v>239</v>
      </c>
      <c r="C232" s="5" t="s">
        <v>357</v>
      </c>
      <c r="D232" s="5" t="s">
        <v>365</v>
      </c>
      <c r="E232" s="5" t="str">
        <f t="shared" si="3"/>
        <v>GG20</v>
      </c>
      <c r="F232" s="5" t="s">
        <v>366</v>
      </c>
      <c r="G232" s="102" t="s">
        <v>371</v>
      </c>
      <c r="H232" s="96" t="s">
        <v>20</v>
      </c>
      <c r="I232" s="97">
        <v>10</v>
      </c>
      <c r="J232" s="97"/>
      <c r="K232" s="121" t="str">
        <f>IF(consolidado[[#This Row],[Observações]]="","Não","Sim")</f>
        <v>Não</v>
      </c>
      <c r="L232" s="119">
        <v>9</v>
      </c>
    </row>
    <row r="233" spans="1:12" ht="28.8" x14ac:dyDescent="0.3">
      <c r="A233" s="4" t="s">
        <v>577</v>
      </c>
      <c r="B233" s="4" t="s">
        <v>7</v>
      </c>
      <c r="C233" s="10" t="s">
        <v>393</v>
      </c>
      <c r="D233" s="10" t="s">
        <v>373</v>
      </c>
      <c r="E233" s="5" t="str">
        <f t="shared" si="3"/>
        <v>AE01</v>
      </c>
      <c r="F233" s="10" t="s">
        <v>395</v>
      </c>
      <c r="G233" s="95" t="s">
        <v>643</v>
      </c>
      <c r="H233" s="96" t="s">
        <v>12</v>
      </c>
      <c r="I233" s="97">
        <v>0</v>
      </c>
      <c r="J233" s="97"/>
      <c r="K233" s="121" t="str">
        <f>IF(consolidado[[#This Row],[Observações]]="","Não","Sim")</f>
        <v>Não</v>
      </c>
      <c r="L233" s="119">
        <v>6</v>
      </c>
    </row>
    <row r="234" spans="1:12" ht="28.8" x14ac:dyDescent="0.3">
      <c r="A234" s="4" t="s">
        <v>577</v>
      </c>
      <c r="B234" s="4" t="s">
        <v>7</v>
      </c>
      <c r="C234" s="10" t="s">
        <v>393</v>
      </c>
      <c r="D234" s="10" t="s">
        <v>373</v>
      </c>
      <c r="E234" s="5" t="str">
        <f t="shared" si="3"/>
        <v>AE01</v>
      </c>
      <c r="F234" s="10" t="s">
        <v>395</v>
      </c>
      <c r="G234" s="95" t="s">
        <v>644</v>
      </c>
      <c r="H234" s="96" t="s">
        <v>14</v>
      </c>
      <c r="I234" s="97">
        <v>4</v>
      </c>
      <c r="J234" s="97"/>
      <c r="K234" s="121" t="str">
        <f>IF(consolidado[[#This Row],[Observações]]="","Não","Sim")</f>
        <v>Não</v>
      </c>
      <c r="L234" s="119">
        <v>6</v>
      </c>
    </row>
    <row r="235" spans="1:12" ht="28.8" x14ac:dyDescent="0.3">
      <c r="A235" s="4" t="s">
        <v>577</v>
      </c>
      <c r="B235" s="4" t="s">
        <v>7</v>
      </c>
      <c r="C235" s="10" t="s">
        <v>393</v>
      </c>
      <c r="D235" s="10" t="s">
        <v>373</v>
      </c>
      <c r="E235" s="5" t="str">
        <f t="shared" si="3"/>
        <v>AE01</v>
      </c>
      <c r="F235" s="10" t="s">
        <v>395</v>
      </c>
      <c r="G235" s="95" t="s">
        <v>645</v>
      </c>
      <c r="H235" s="96" t="s">
        <v>16</v>
      </c>
      <c r="I235" s="97">
        <v>6</v>
      </c>
      <c r="J235" s="97"/>
      <c r="K235" s="121" t="str">
        <f>IF(consolidado[[#This Row],[Observações]]="","Não","Sim")</f>
        <v>Não</v>
      </c>
      <c r="L235" s="119">
        <v>6</v>
      </c>
    </row>
    <row r="236" spans="1:12" ht="28.8" x14ac:dyDescent="0.3">
      <c r="A236" s="4" t="s">
        <v>577</v>
      </c>
      <c r="B236" s="4" t="s">
        <v>7</v>
      </c>
      <c r="C236" s="10" t="s">
        <v>393</v>
      </c>
      <c r="D236" s="10" t="s">
        <v>373</v>
      </c>
      <c r="E236" s="5" t="str">
        <f t="shared" si="3"/>
        <v>AE01</v>
      </c>
      <c r="F236" s="10" t="s">
        <v>395</v>
      </c>
      <c r="G236" s="95" t="s">
        <v>646</v>
      </c>
      <c r="H236" s="96" t="s">
        <v>18</v>
      </c>
      <c r="I236" s="97">
        <v>8</v>
      </c>
      <c r="J236" s="97"/>
      <c r="K236" s="121" t="str">
        <f>IF(consolidado[[#This Row],[Observações]]="","Não","Sim")</f>
        <v>Não</v>
      </c>
      <c r="L236" s="119">
        <v>6</v>
      </c>
    </row>
    <row r="237" spans="1:12" ht="28.8" x14ac:dyDescent="0.3">
      <c r="A237" s="4" t="s">
        <v>577</v>
      </c>
      <c r="B237" s="4" t="s">
        <v>7</v>
      </c>
      <c r="C237" s="10" t="s">
        <v>393</v>
      </c>
      <c r="D237" s="10" t="s">
        <v>373</v>
      </c>
      <c r="E237" s="5" t="str">
        <f t="shared" si="3"/>
        <v>AE01</v>
      </c>
      <c r="F237" s="10" t="s">
        <v>395</v>
      </c>
      <c r="G237" s="95" t="s">
        <v>647</v>
      </c>
      <c r="H237" s="96" t="s">
        <v>20</v>
      </c>
      <c r="I237" s="97">
        <v>10</v>
      </c>
      <c r="J237" s="97"/>
      <c r="K237" s="121" t="str">
        <f>IF(consolidado[[#This Row],[Observações]]="","Não","Sim")</f>
        <v>Não</v>
      </c>
      <c r="L237" s="119">
        <v>6</v>
      </c>
    </row>
    <row r="238" spans="1:12" ht="28.8" x14ac:dyDescent="0.3">
      <c r="A238" s="4" t="s">
        <v>577</v>
      </c>
      <c r="B238" s="4" t="s">
        <v>7</v>
      </c>
      <c r="C238" s="10" t="s">
        <v>393</v>
      </c>
      <c r="D238" s="10" t="s">
        <v>375</v>
      </c>
      <c r="E238" s="5" t="str">
        <f t="shared" si="3"/>
        <v>AE02</v>
      </c>
      <c r="F238" s="10" t="s">
        <v>381</v>
      </c>
      <c r="G238" s="95" t="s">
        <v>538</v>
      </c>
      <c r="H238" s="96" t="s">
        <v>12</v>
      </c>
      <c r="I238" s="97">
        <v>0</v>
      </c>
      <c r="J238" s="97"/>
      <c r="K238" s="121" t="str">
        <f>IF(consolidado[[#This Row],[Observações]]="","Não","Sim")</f>
        <v>Não</v>
      </c>
      <c r="L238" s="119">
        <v>15</v>
      </c>
    </row>
    <row r="239" spans="1:12" ht="28.8" x14ac:dyDescent="0.3">
      <c r="A239" s="4" t="s">
        <v>577</v>
      </c>
      <c r="B239" s="4" t="s">
        <v>7</v>
      </c>
      <c r="C239" s="10" t="s">
        <v>393</v>
      </c>
      <c r="D239" s="10" t="s">
        <v>375</v>
      </c>
      <c r="E239" s="5" t="str">
        <f t="shared" si="3"/>
        <v>AE02</v>
      </c>
      <c r="F239" s="10" t="s">
        <v>381</v>
      </c>
      <c r="G239" s="95" t="s">
        <v>539</v>
      </c>
      <c r="H239" s="96" t="s">
        <v>16</v>
      </c>
      <c r="I239" s="97">
        <v>6</v>
      </c>
      <c r="J239" s="97"/>
      <c r="K239" s="121" t="str">
        <f>IF(consolidado[[#This Row],[Observações]]="","Não","Sim")</f>
        <v>Não</v>
      </c>
      <c r="L239" s="119">
        <v>15</v>
      </c>
    </row>
    <row r="240" spans="1:12" ht="28.8" x14ac:dyDescent="0.3">
      <c r="A240" s="4" t="s">
        <v>577</v>
      </c>
      <c r="B240" s="4" t="s">
        <v>7</v>
      </c>
      <c r="C240" s="10" t="s">
        <v>393</v>
      </c>
      <c r="D240" s="10" t="s">
        <v>375</v>
      </c>
      <c r="E240" s="5" t="str">
        <f t="shared" si="3"/>
        <v>AE02</v>
      </c>
      <c r="F240" s="10" t="s">
        <v>381</v>
      </c>
      <c r="G240" s="95" t="s">
        <v>540</v>
      </c>
      <c r="H240" s="96" t="s">
        <v>18</v>
      </c>
      <c r="I240" s="97">
        <v>8</v>
      </c>
      <c r="J240" s="97"/>
      <c r="K240" s="121" t="str">
        <f>IF(consolidado[[#This Row],[Observações]]="","Não","Sim")</f>
        <v>Não</v>
      </c>
      <c r="L240" s="119">
        <v>15</v>
      </c>
    </row>
    <row r="241" spans="1:12" ht="28.8" x14ac:dyDescent="0.3">
      <c r="A241" s="4" t="s">
        <v>577</v>
      </c>
      <c r="B241" s="4" t="s">
        <v>7</v>
      </c>
      <c r="C241" s="10" t="s">
        <v>393</v>
      </c>
      <c r="D241" s="10" t="s">
        <v>375</v>
      </c>
      <c r="E241" s="5" t="str">
        <f t="shared" si="3"/>
        <v>AE02</v>
      </c>
      <c r="F241" s="10" t="s">
        <v>381</v>
      </c>
      <c r="G241" s="95" t="s">
        <v>648</v>
      </c>
      <c r="H241" s="96" t="s">
        <v>20</v>
      </c>
      <c r="I241" s="97">
        <v>10</v>
      </c>
      <c r="J241" s="97"/>
      <c r="K241" s="121" t="str">
        <f>IF(consolidado[[#This Row],[Observações]]="","Não","Sim")</f>
        <v>Não</v>
      </c>
      <c r="L241" s="119">
        <v>15</v>
      </c>
    </row>
    <row r="242" spans="1:12" ht="26.4" x14ac:dyDescent="0.3">
      <c r="A242" s="4" t="s">
        <v>577</v>
      </c>
      <c r="B242" s="4" t="s">
        <v>7</v>
      </c>
      <c r="C242" s="10" t="s">
        <v>377</v>
      </c>
      <c r="D242" s="10" t="s">
        <v>378</v>
      </c>
      <c r="E242" s="5" t="str">
        <f t="shared" si="3"/>
        <v>AE03</v>
      </c>
      <c r="F242" s="10" t="s">
        <v>383</v>
      </c>
      <c r="G242" s="95" t="s">
        <v>541</v>
      </c>
      <c r="H242" s="96" t="s">
        <v>12</v>
      </c>
      <c r="I242" s="97">
        <v>0</v>
      </c>
      <c r="J242" s="97"/>
      <c r="K242" s="121" t="str">
        <f>IF(consolidado[[#This Row],[Observações]]="","Não","Sim")</f>
        <v>Não</v>
      </c>
      <c r="L242" s="119">
        <v>12</v>
      </c>
    </row>
    <row r="243" spans="1:12" ht="26.4" x14ac:dyDescent="0.3">
      <c r="A243" s="4" t="s">
        <v>577</v>
      </c>
      <c r="B243" s="4" t="s">
        <v>7</v>
      </c>
      <c r="C243" s="10" t="s">
        <v>377</v>
      </c>
      <c r="D243" s="10" t="s">
        <v>378</v>
      </c>
      <c r="E243" s="5" t="str">
        <f t="shared" si="3"/>
        <v>AE03</v>
      </c>
      <c r="F243" s="10" t="s">
        <v>383</v>
      </c>
      <c r="G243" s="95" t="s">
        <v>542</v>
      </c>
      <c r="H243" s="106" t="s">
        <v>14</v>
      </c>
      <c r="I243" s="107">
        <v>4</v>
      </c>
      <c r="J243" s="107" t="s">
        <v>534</v>
      </c>
      <c r="K243" s="121" t="str">
        <f>IF(consolidado[[#This Row],[Observações]]="","Não","Sim")</f>
        <v>Sim</v>
      </c>
      <c r="L243" s="119">
        <v>12</v>
      </c>
    </row>
    <row r="244" spans="1:12" ht="28.8" x14ac:dyDescent="0.3">
      <c r="A244" s="4" t="s">
        <v>577</v>
      </c>
      <c r="B244" s="4" t="s">
        <v>7</v>
      </c>
      <c r="C244" s="10" t="s">
        <v>377</v>
      </c>
      <c r="D244" s="10" t="s">
        <v>378</v>
      </c>
      <c r="E244" s="5" t="str">
        <f t="shared" si="3"/>
        <v>AE03</v>
      </c>
      <c r="F244" s="10" t="s">
        <v>383</v>
      </c>
      <c r="G244" s="95" t="s">
        <v>543</v>
      </c>
      <c r="H244" s="96" t="s">
        <v>16</v>
      </c>
      <c r="I244" s="97">
        <v>6</v>
      </c>
      <c r="J244" s="97"/>
      <c r="K244" s="121" t="str">
        <f>IF(consolidado[[#This Row],[Observações]]="","Não","Sim")</f>
        <v>Não</v>
      </c>
      <c r="L244" s="119">
        <v>12</v>
      </c>
    </row>
    <row r="245" spans="1:12" ht="28.8" x14ac:dyDescent="0.3">
      <c r="A245" s="4" t="s">
        <v>577</v>
      </c>
      <c r="B245" s="4" t="s">
        <v>7</v>
      </c>
      <c r="C245" s="10" t="s">
        <v>377</v>
      </c>
      <c r="D245" s="10" t="s">
        <v>378</v>
      </c>
      <c r="E245" s="5" t="str">
        <f t="shared" si="3"/>
        <v>AE03</v>
      </c>
      <c r="F245" s="10" t="s">
        <v>383</v>
      </c>
      <c r="G245" s="95" t="s">
        <v>544</v>
      </c>
      <c r="H245" s="96" t="s">
        <v>18</v>
      </c>
      <c r="I245" s="97">
        <v>8</v>
      </c>
      <c r="J245" s="97"/>
      <c r="K245" s="121" t="str">
        <f>IF(consolidado[[#This Row],[Observações]]="","Não","Sim")</f>
        <v>Não</v>
      </c>
      <c r="L245" s="119">
        <v>12</v>
      </c>
    </row>
    <row r="246" spans="1:12" ht="28.8" x14ac:dyDescent="0.3">
      <c r="A246" s="4" t="s">
        <v>577</v>
      </c>
      <c r="B246" s="4" t="s">
        <v>7</v>
      </c>
      <c r="C246" s="10" t="s">
        <v>377</v>
      </c>
      <c r="D246" s="10" t="s">
        <v>378</v>
      </c>
      <c r="E246" s="5" t="str">
        <f t="shared" si="3"/>
        <v>AE03</v>
      </c>
      <c r="F246" s="10" t="s">
        <v>383</v>
      </c>
      <c r="G246" s="95" t="s">
        <v>545</v>
      </c>
      <c r="H246" s="96" t="s">
        <v>20</v>
      </c>
      <c r="I246" s="97">
        <v>10</v>
      </c>
      <c r="J246" s="97"/>
      <c r="K246" s="121" t="str">
        <f>IF(consolidado[[#This Row],[Observações]]="","Não","Sim")</f>
        <v>Não</v>
      </c>
      <c r="L246" s="119">
        <v>12</v>
      </c>
    </row>
    <row r="247" spans="1:12" ht="28.8" x14ac:dyDescent="0.3">
      <c r="A247" s="4" t="s">
        <v>577</v>
      </c>
      <c r="B247" s="4" t="s">
        <v>7</v>
      </c>
      <c r="C247" s="10" t="s">
        <v>384</v>
      </c>
      <c r="D247" s="10" t="s">
        <v>380</v>
      </c>
      <c r="E247" s="5" t="str">
        <f t="shared" si="3"/>
        <v>AE04</v>
      </c>
      <c r="F247" s="10" t="s">
        <v>385</v>
      </c>
      <c r="G247" s="95" t="s">
        <v>649</v>
      </c>
      <c r="H247" s="96" t="s">
        <v>12</v>
      </c>
      <c r="I247" s="97">
        <v>0</v>
      </c>
      <c r="J247" s="97"/>
      <c r="K247" s="121" t="str">
        <f>IF(consolidado[[#This Row],[Observações]]="","Não","Sim")</f>
        <v>Não</v>
      </c>
      <c r="L247" s="119" t="s">
        <v>607</v>
      </c>
    </row>
    <row r="248" spans="1:12" ht="28.8" x14ac:dyDescent="0.3">
      <c r="A248" s="4" t="s">
        <v>577</v>
      </c>
      <c r="B248" s="4" t="s">
        <v>7</v>
      </c>
      <c r="C248" s="10" t="s">
        <v>384</v>
      </c>
      <c r="D248" s="10" t="s">
        <v>380</v>
      </c>
      <c r="E248" s="5" t="str">
        <f t="shared" si="3"/>
        <v>AE04</v>
      </c>
      <c r="F248" s="10" t="s">
        <v>385</v>
      </c>
      <c r="G248" s="95" t="s">
        <v>650</v>
      </c>
      <c r="H248" s="96" t="s">
        <v>14</v>
      </c>
      <c r="I248" s="97">
        <v>4</v>
      </c>
      <c r="J248" s="97"/>
      <c r="K248" s="121" t="str">
        <f>IF(consolidado[[#This Row],[Observações]]="","Não","Sim")</f>
        <v>Não</v>
      </c>
      <c r="L248" s="119" t="s">
        <v>607</v>
      </c>
    </row>
    <row r="249" spans="1:12" ht="43.2" x14ac:dyDescent="0.3">
      <c r="A249" s="4" t="s">
        <v>577</v>
      </c>
      <c r="B249" s="4" t="s">
        <v>7</v>
      </c>
      <c r="C249" s="10" t="s">
        <v>384</v>
      </c>
      <c r="D249" s="10" t="s">
        <v>380</v>
      </c>
      <c r="E249" s="5" t="str">
        <f t="shared" si="3"/>
        <v>AE04</v>
      </c>
      <c r="F249" s="10" t="s">
        <v>385</v>
      </c>
      <c r="G249" s="95" t="s">
        <v>651</v>
      </c>
      <c r="H249" s="96" t="s">
        <v>16</v>
      </c>
      <c r="I249" s="97">
        <v>6</v>
      </c>
      <c r="J249" s="97"/>
      <c r="K249" s="121" t="str">
        <f>IF(consolidado[[#This Row],[Observações]]="","Não","Sim")</f>
        <v>Não</v>
      </c>
      <c r="L249" s="119" t="s">
        <v>607</v>
      </c>
    </row>
    <row r="250" spans="1:12" ht="28.8" x14ac:dyDescent="0.3">
      <c r="A250" s="4" t="s">
        <v>577</v>
      </c>
      <c r="B250" s="4" t="s">
        <v>7</v>
      </c>
      <c r="C250" s="10" t="s">
        <v>384</v>
      </c>
      <c r="D250" s="10" t="s">
        <v>380</v>
      </c>
      <c r="E250" s="5" t="str">
        <f t="shared" si="3"/>
        <v>AE04</v>
      </c>
      <c r="F250" s="10" t="s">
        <v>385</v>
      </c>
      <c r="G250" s="95" t="s">
        <v>652</v>
      </c>
      <c r="H250" s="96" t="s">
        <v>18</v>
      </c>
      <c r="I250" s="97">
        <v>8</v>
      </c>
      <c r="J250" s="97"/>
      <c r="K250" s="121" t="str">
        <f>IF(consolidado[[#This Row],[Observações]]="","Não","Sim")</f>
        <v>Não</v>
      </c>
      <c r="L250" s="119" t="s">
        <v>607</v>
      </c>
    </row>
    <row r="251" spans="1:12" ht="28.8" x14ac:dyDescent="0.3">
      <c r="A251" s="4" t="s">
        <v>577</v>
      </c>
      <c r="B251" s="4" t="s">
        <v>7</v>
      </c>
      <c r="C251" s="10" t="s">
        <v>384</v>
      </c>
      <c r="D251" s="10" t="s">
        <v>380</v>
      </c>
      <c r="E251" s="5" t="str">
        <f t="shared" si="3"/>
        <v>AE04</v>
      </c>
      <c r="F251" s="10" t="s">
        <v>385</v>
      </c>
      <c r="G251" s="95" t="s">
        <v>653</v>
      </c>
      <c r="H251" s="96" t="s">
        <v>20</v>
      </c>
      <c r="I251" s="97">
        <v>10</v>
      </c>
      <c r="J251" s="97"/>
      <c r="K251" s="121" t="str">
        <f>IF(consolidado[[#This Row],[Observações]]="","Não","Sim")</f>
        <v>Não</v>
      </c>
      <c r="L251" s="119" t="s">
        <v>607</v>
      </c>
    </row>
    <row r="252" spans="1:12" ht="28.8" x14ac:dyDescent="0.3">
      <c r="A252" s="4" t="s">
        <v>577</v>
      </c>
      <c r="B252" s="4" t="s">
        <v>7</v>
      </c>
      <c r="C252" s="10" t="s">
        <v>387</v>
      </c>
      <c r="D252" s="10" t="s">
        <v>382</v>
      </c>
      <c r="E252" s="5" t="str">
        <f t="shared" si="3"/>
        <v>AE05</v>
      </c>
      <c r="F252" s="10" t="s">
        <v>388</v>
      </c>
      <c r="G252" s="95" t="s">
        <v>634</v>
      </c>
      <c r="H252" s="96" t="s">
        <v>12</v>
      </c>
      <c r="I252" s="97">
        <v>0</v>
      </c>
      <c r="J252" s="97"/>
      <c r="K252" s="121" t="str">
        <f>IF(consolidado[[#This Row],[Observações]]="","Não","Sim")</f>
        <v>Não</v>
      </c>
      <c r="L252" s="119">
        <v>9</v>
      </c>
    </row>
    <row r="253" spans="1:12" ht="43.2" x14ac:dyDescent="0.3">
      <c r="A253" s="4" t="s">
        <v>577</v>
      </c>
      <c r="B253" s="4" t="s">
        <v>7</v>
      </c>
      <c r="C253" s="10" t="s">
        <v>387</v>
      </c>
      <c r="D253" s="10" t="s">
        <v>382</v>
      </c>
      <c r="E253" s="5" t="str">
        <f t="shared" si="3"/>
        <v>AE05</v>
      </c>
      <c r="F253" s="10" t="s">
        <v>388</v>
      </c>
      <c r="G253" s="95" t="s">
        <v>635</v>
      </c>
      <c r="H253" s="96" t="s">
        <v>14</v>
      </c>
      <c r="I253" s="97">
        <v>4</v>
      </c>
      <c r="J253" s="97"/>
      <c r="K253" s="121" t="str">
        <f>IF(consolidado[[#This Row],[Observações]]="","Não","Sim")</f>
        <v>Não</v>
      </c>
      <c r="L253" s="119">
        <v>9</v>
      </c>
    </row>
    <row r="254" spans="1:12" ht="43.2" x14ac:dyDescent="0.3">
      <c r="A254" s="4" t="s">
        <v>577</v>
      </c>
      <c r="B254" s="4" t="s">
        <v>7</v>
      </c>
      <c r="C254" s="10" t="s">
        <v>387</v>
      </c>
      <c r="D254" s="10" t="s">
        <v>382</v>
      </c>
      <c r="E254" s="5" t="str">
        <f t="shared" si="3"/>
        <v>AE05</v>
      </c>
      <c r="F254" s="10" t="s">
        <v>388</v>
      </c>
      <c r="G254" s="95" t="s">
        <v>654</v>
      </c>
      <c r="H254" s="96" t="s">
        <v>16</v>
      </c>
      <c r="I254" s="97">
        <v>6</v>
      </c>
      <c r="J254" s="97"/>
      <c r="K254" s="121" t="str">
        <f>IF(consolidado[[#This Row],[Observações]]="","Não","Sim")</f>
        <v>Não</v>
      </c>
      <c r="L254" s="119">
        <v>9</v>
      </c>
    </row>
    <row r="255" spans="1:12" ht="28.8" x14ac:dyDescent="0.3">
      <c r="A255" s="4" t="s">
        <v>577</v>
      </c>
      <c r="B255" s="4" t="s">
        <v>7</v>
      </c>
      <c r="C255" s="10" t="s">
        <v>387</v>
      </c>
      <c r="D255" s="10" t="s">
        <v>382</v>
      </c>
      <c r="E255" s="5" t="str">
        <f t="shared" si="3"/>
        <v>AE05</v>
      </c>
      <c r="F255" s="10" t="s">
        <v>388</v>
      </c>
      <c r="G255" s="95" t="s">
        <v>637</v>
      </c>
      <c r="H255" s="96" t="s">
        <v>18</v>
      </c>
      <c r="I255" s="97">
        <v>8</v>
      </c>
      <c r="J255" s="97"/>
      <c r="K255" s="121" t="str">
        <f>IF(consolidado[[#This Row],[Observações]]="","Não","Sim")</f>
        <v>Não</v>
      </c>
      <c r="L255" s="119">
        <v>9</v>
      </c>
    </row>
    <row r="256" spans="1:12" ht="43.2" x14ac:dyDescent="0.3">
      <c r="A256" s="4" t="s">
        <v>577</v>
      </c>
      <c r="B256" s="4" t="s">
        <v>7</v>
      </c>
      <c r="C256" s="10" t="s">
        <v>387</v>
      </c>
      <c r="D256" s="10" t="s">
        <v>382</v>
      </c>
      <c r="E256" s="5" t="str">
        <f t="shared" si="3"/>
        <v>AE05</v>
      </c>
      <c r="F256" s="10" t="s">
        <v>388</v>
      </c>
      <c r="G256" s="95" t="s">
        <v>655</v>
      </c>
      <c r="H256" s="96" t="s">
        <v>20</v>
      </c>
      <c r="I256" s="97">
        <v>10</v>
      </c>
      <c r="J256" s="97"/>
      <c r="K256" s="121" t="str">
        <f>IF(consolidado[[#This Row],[Observações]]="","Não","Sim")</f>
        <v>Não</v>
      </c>
      <c r="L256" s="119">
        <v>9</v>
      </c>
    </row>
    <row r="257" spans="1:12" ht="28.8" x14ac:dyDescent="0.3">
      <c r="A257" s="4" t="s">
        <v>577</v>
      </c>
      <c r="B257" s="4" t="s">
        <v>100</v>
      </c>
      <c r="C257" s="5" t="s">
        <v>399</v>
      </c>
      <c r="D257" s="5" t="s">
        <v>391</v>
      </c>
      <c r="E257" s="5" t="str">
        <f t="shared" si="3"/>
        <v>AS01</v>
      </c>
      <c r="F257" s="5" t="s">
        <v>401</v>
      </c>
      <c r="G257" s="95" t="s">
        <v>656</v>
      </c>
      <c r="H257" s="96" t="s">
        <v>12</v>
      </c>
      <c r="I257" s="97">
        <v>0</v>
      </c>
      <c r="J257" s="97"/>
      <c r="K257" s="121" t="str">
        <f>IF(consolidado[[#This Row],[Observações]]="","Não","Sim")</f>
        <v>Não</v>
      </c>
      <c r="L257" s="119" t="s">
        <v>607</v>
      </c>
    </row>
    <row r="258" spans="1:12" ht="28.8" x14ac:dyDescent="0.3">
      <c r="A258" s="4" t="s">
        <v>577</v>
      </c>
      <c r="B258" s="4" t="s">
        <v>100</v>
      </c>
      <c r="C258" s="5" t="s">
        <v>399</v>
      </c>
      <c r="D258" s="5" t="s">
        <v>391</v>
      </c>
      <c r="E258" s="5" t="str">
        <f t="shared" si="3"/>
        <v>AS01</v>
      </c>
      <c r="F258" s="5" t="s">
        <v>401</v>
      </c>
      <c r="G258" s="95" t="s">
        <v>657</v>
      </c>
      <c r="H258" s="106" t="s">
        <v>16</v>
      </c>
      <c r="I258" s="107">
        <v>0</v>
      </c>
      <c r="J258" s="107" t="s">
        <v>534</v>
      </c>
      <c r="K258" s="121" t="str">
        <f>IF(consolidado[[#This Row],[Observações]]="","Não","Sim")</f>
        <v>Sim</v>
      </c>
      <c r="L258" s="119" t="s">
        <v>607</v>
      </c>
    </row>
    <row r="259" spans="1:12" ht="28.8" x14ac:dyDescent="0.3">
      <c r="A259" s="4" t="s">
        <v>577</v>
      </c>
      <c r="B259" s="4" t="s">
        <v>100</v>
      </c>
      <c r="C259" s="5" t="s">
        <v>399</v>
      </c>
      <c r="D259" s="5" t="s">
        <v>391</v>
      </c>
      <c r="E259" s="5" t="str">
        <f t="shared" ref="E259:E322" si="4">SUBSTITUTE(D259," ","")</f>
        <v>AS01</v>
      </c>
      <c r="F259" s="5" t="s">
        <v>401</v>
      </c>
      <c r="G259" s="95" t="s">
        <v>658</v>
      </c>
      <c r="H259" s="96" t="s">
        <v>18</v>
      </c>
      <c r="I259" s="97">
        <v>8</v>
      </c>
      <c r="J259" s="97"/>
      <c r="K259" s="121" t="str">
        <f>IF(consolidado[[#This Row],[Observações]]="","Não","Sim")</f>
        <v>Não</v>
      </c>
      <c r="L259" s="119" t="s">
        <v>607</v>
      </c>
    </row>
    <row r="260" spans="1:12" ht="28.8" x14ac:dyDescent="0.3">
      <c r="A260" s="4" t="s">
        <v>577</v>
      </c>
      <c r="B260" s="4" t="s">
        <v>100</v>
      </c>
      <c r="C260" s="5" t="s">
        <v>399</v>
      </c>
      <c r="D260" s="5" t="s">
        <v>391</v>
      </c>
      <c r="E260" s="5" t="str">
        <f t="shared" si="4"/>
        <v>AS01</v>
      </c>
      <c r="F260" s="5" t="s">
        <v>401</v>
      </c>
      <c r="G260" s="95" t="s">
        <v>659</v>
      </c>
      <c r="H260" s="96" t="s">
        <v>20</v>
      </c>
      <c r="I260" s="97">
        <v>10</v>
      </c>
      <c r="J260" s="97"/>
      <c r="K260" s="121" t="str">
        <f>IF(consolidado[[#This Row],[Observações]]="","Não","Sim")</f>
        <v>Não</v>
      </c>
      <c r="L260" s="119" t="s">
        <v>607</v>
      </c>
    </row>
    <row r="261" spans="1:12" ht="43.2" x14ac:dyDescent="0.3">
      <c r="A261" s="4" t="s">
        <v>577</v>
      </c>
      <c r="B261" s="4" t="s">
        <v>100</v>
      </c>
      <c r="C261" s="5" t="s">
        <v>399</v>
      </c>
      <c r="D261" s="5" t="s">
        <v>620</v>
      </c>
      <c r="E261" s="5" t="str">
        <f t="shared" si="4"/>
        <v>AS02</v>
      </c>
      <c r="F261" s="5" t="s">
        <v>403</v>
      </c>
      <c r="G261" s="95" t="s">
        <v>660</v>
      </c>
      <c r="H261" s="96" t="s">
        <v>12</v>
      </c>
      <c r="I261" s="97">
        <v>0</v>
      </c>
      <c r="J261" s="97"/>
      <c r="K261" s="121" t="str">
        <f>IF(consolidado[[#This Row],[Observações]]="","Não","Sim")</f>
        <v>Não</v>
      </c>
      <c r="L261" s="119" t="s">
        <v>607</v>
      </c>
    </row>
    <row r="262" spans="1:12" ht="43.2" x14ac:dyDescent="0.3">
      <c r="A262" s="4" t="s">
        <v>577</v>
      </c>
      <c r="B262" s="4" t="s">
        <v>100</v>
      </c>
      <c r="C262" s="5" t="s">
        <v>399</v>
      </c>
      <c r="D262" s="5" t="s">
        <v>620</v>
      </c>
      <c r="E262" s="5" t="str">
        <f t="shared" si="4"/>
        <v>AS02</v>
      </c>
      <c r="F262" s="5" t="s">
        <v>403</v>
      </c>
      <c r="G262" s="95" t="s">
        <v>661</v>
      </c>
      <c r="H262" s="106" t="s">
        <v>31</v>
      </c>
      <c r="I262" s="107">
        <v>0</v>
      </c>
      <c r="J262" s="107" t="s">
        <v>534</v>
      </c>
      <c r="K262" s="121" t="str">
        <f>IF(consolidado[[#This Row],[Observações]]="","Não","Sim")</f>
        <v>Sim</v>
      </c>
      <c r="L262" s="119" t="s">
        <v>607</v>
      </c>
    </row>
    <row r="263" spans="1:12" ht="28.8" x14ac:dyDescent="0.3">
      <c r="A263" s="4" t="s">
        <v>577</v>
      </c>
      <c r="B263" s="4" t="s">
        <v>100</v>
      </c>
      <c r="C263" s="5" t="s">
        <v>404</v>
      </c>
      <c r="D263" s="5" t="s">
        <v>621</v>
      </c>
      <c r="E263" s="5" t="str">
        <f t="shared" si="4"/>
        <v>AS03</v>
      </c>
      <c r="F263" s="5" t="s">
        <v>406</v>
      </c>
      <c r="G263" s="95" t="s">
        <v>662</v>
      </c>
      <c r="H263" s="96" t="s">
        <v>12</v>
      </c>
      <c r="I263" s="97">
        <v>0</v>
      </c>
      <c r="J263" s="97"/>
      <c r="K263" s="121" t="str">
        <f>IF(consolidado[[#This Row],[Observações]]="","Não","Sim")</f>
        <v>Não</v>
      </c>
      <c r="L263" s="119" t="s">
        <v>607</v>
      </c>
    </row>
    <row r="264" spans="1:12" ht="28.8" x14ac:dyDescent="0.3">
      <c r="A264" s="4" t="s">
        <v>577</v>
      </c>
      <c r="B264" s="4" t="s">
        <v>100</v>
      </c>
      <c r="C264" s="5" t="s">
        <v>404</v>
      </c>
      <c r="D264" s="5" t="s">
        <v>621</v>
      </c>
      <c r="E264" s="5" t="str">
        <f t="shared" si="4"/>
        <v>AS03</v>
      </c>
      <c r="F264" s="5" t="s">
        <v>406</v>
      </c>
      <c r="G264" s="95" t="s">
        <v>663</v>
      </c>
      <c r="H264" s="106" t="s">
        <v>31</v>
      </c>
      <c r="I264" s="107">
        <v>0</v>
      </c>
      <c r="J264" s="107" t="s">
        <v>534</v>
      </c>
      <c r="K264" s="121" t="str">
        <f>IF(consolidado[[#This Row],[Observações]]="","Não","Sim")</f>
        <v>Sim</v>
      </c>
      <c r="L264" s="119" t="s">
        <v>607</v>
      </c>
    </row>
    <row r="265" spans="1:12" ht="43.2" x14ac:dyDescent="0.3">
      <c r="A265" s="4" t="s">
        <v>577</v>
      </c>
      <c r="B265" s="4" t="s">
        <v>100</v>
      </c>
      <c r="C265" s="5" t="s">
        <v>404</v>
      </c>
      <c r="D265" s="5" t="s">
        <v>622</v>
      </c>
      <c r="E265" s="5" t="str">
        <f t="shared" si="4"/>
        <v>AS04</v>
      </c>
      <c r="F265" s="5" t="s">
        <v>408</v>
      </c>
      <c r="G265" s="95" t="s">
        <v>664</v>
      </c>
      <c r="H265" s="96" t="s">
        <v>12</v>
      </c>
      <c r="I265" s="97">
        <v>0</v>
      </c>
      <c r="J265" s="97"/>
      <c r="K265" s="121" t="str">
        <f>IF(consolidado[[#This Row],[Observações]]="","Não","Sim")</f>
        <v>Não</v>
      </c>
      <c r="L265" s="119" t="s">
        <v>870</v>
      </c>
    </row>
    <row r="266" spans="1:12" ht="43.2" x14ac:dyDescent="0.3">
      <c r="A266" s="4" t="s">
        <v>577</v>
      </c>
      <c r="B266" s="4" t="s">
        <v>100</v>
      </c>
      <c r="C266" s="5" t="s">
        <v>404</v>
      </c>
      <c r="D266" s="5" t="s">
        <v>622</v>
      </c>
      <c r="E266" s="5" t="str">
        <f t="shared" si="4"/>
        <v>AS04</v>
      </c>
      <c r="F266" s="5" t="s">
        <v>408</v>
      </c>
      <c r="G266" s="95" t="s">
        <v>665</v>
      </c>
      <c r="H266" s="106" t="s">
        <v>16</v>
      </c>
      <c r="I266" s="107">
        <v>0</v>
      </c>
      <c r="J266" s="107" t="s">
        <v>534</v>
      </c>
      <c r="K266" s="121" t="str">
        <f>IF(consolidado[[#This Row],[Observações]]="","Não","Sim")</f>
        <v>Sim</v>
      </c>
      <c r="L266" s="119" t="s">
        <v>870</v>
      </c>
    </row>
    <row r="267" spans="1:12" ht="28.8" x14ac:dyDescent="0.3">
      <c r="A267" s="4" t="s">
        <v>577</v>
      </c>
      <c r="B267" s="4" t="s">
        <v>100</v>
      </c>
      <c r="C267" s="5" t="s">
        <v>404</v>
      </c>
      <c r="D267" s="5" t="s">
        <v>622</v>
      </c>
      <c r="E267" s="5" t="str">
        <f t="shared" si="4"/>
        <v>AS04</v>
      </c>
      <c r="F267" s="5" t="s">
        <v>408</v>
      </c>
      <c r="G267" s="95" t="s">
        <v>666</v>
      </c>
      <c r="H267" s="96" t="s">
        <v>18</v>
      </c>
      <c r="I267" s="97">
        <v>8</v>
      </c>
      <c r="J267" s="97"/>
      <c r="K267" s="121" t="str">
        <f>IF(consolidado[[#This Row],[Observações]]="","Não","Sim")</f>
        <v>Não</v>
      </c>
      <c r="L267" s="119" t="s">
        <v>870</v>
      </c>
    </row>
    <row r="268" spans="1:12" ht="28.8" x14ac:dyDescent="0.3">
      <c r="A268" s="4" t="s">
        <v>577</v>
      </c>
      <c r="B268" s="4" t="s">
        <v>100</v>
      </c>
      <c r="C268" s="5" t="s">
        <v>404</v>
      </c>
      <c r="D268" s="5" t="s">
        <v>622</v>
      </c>
      <c r="E268" s="5" t="str">
        <f t="shared" si="4"/>
        <v>AS04</v>
      </c>
      <c r="F268" s="5" t="s">
        <v>408</v>
      </c>
      <c r="G268" s="95" t="s">
        <v>667</v>
      </c>
      <c r="H268" s="96" t="s">
        <v>20</v>
      </c>
      <c r="I268" s="97">
        <v>10</v>
      </c>
      <c r="J268" s="97"/>
      <c r="K268" s="121" t="str">
        <f>IF(consolidado[[#This Row],[Observações]]="","Não","Sim")</f>
        <v>Não</v>
      </c>
      <c r="L268" s="119" t="s">
        <v>870</v>
      </c>
    </row>
    <row r="269" spans="1:12" ht="26.4" x14ac:dyDescent="0.3">
      <c r="A269" s="4" t="s">
        <v>577</v>
      </c>
      <c r="B269" s="4" t="s">
        <v>100</v>
      </c>
      <c r="C269" s="5" t="s">
        <v>404</v>
      </c>
      <c r="D269" s="5" t="s">
        <v>623</v>
      </c>
      <c r="E269" s="5" t="str">
        <f t="shared" si="4"/>
        <v>AS05</v>
      </c>
      <c r="F269" s="5" t="s">
        <v>409</v>
      </c>
      <c r="G269" s="95" t="s">
        <v>668</v>
      </c>
      <c r="H269" s="96" t="s">
        <v>12</v>
      </c>
      <c r="I269" s="97">
        <v>0</v>
      </c>
      <c r="J269" s="97"/>
      <c r="K269" s="121" t="str">
        <f>IF(consolidado[[#This Row],[Observações]]="","Não","Sim")</f>
        <v>Não</v>
      </c>
      <c r="L269" s="119" t="s">
        <v>607</v>
      </c>
    </row>
    <row r="270" spans="1:12" ht="28.8" x14ac:dyDescent="0.3">
      <c r="A270" s="4" t="s">
        <v>577</v>
      </c>
      <c r="B270" s="4" t="s">
        <v>100</v>
      </c>
      <c r="C270" s="5" t="s">
        <v>404</v>
      </c>
      <c r="D270" s="5" t="s">
        <v>623</v>
      </c>
      <c r="E270" s="5" t="str">
        <f t="shared" si="4"/>
        <v>AS05</v>
      </c>
      <c r="F270" s="5" t="s">
        <v>409</v>
      </c>
      <c r="G270" s="95" t="s">
        <v>669</v>
      </c>
      <c r="H270" s="96" t="s">
        <v>18</v>
      </c>
      <c r="I270" s="97">
        <v>8</v>
      </c>
      <c r="J270" s="97"/>
      <c r="K270" s="121" t="str">
        <f>IF(consolidado[[#This Row],[Observações]]="","Não","Sim")</f>
        <v>Não</v>
      </c>
      <c r="L270" s="119" t="s">
        <v>607</v>
      </c>
    </row>
    <row r="271" spans="1:12" ht="28.8" x14ac:dyDescent="0.3">
      <c r="A271" s="4" t="s">
        <v>577</v>
      </c>
      <c r="B271" s="4" t="s">
        <v>100</v>
      </c>
      <c r="C271" s="5" t="s">
        <v>404</v>
      </c>
      <c r="D271" s="5" t="s">
        <v>623</v>
      </c>
      <c r="E271" s="5" t="str">
        <f t="shared" si="4"/>
        <v>AS05</v>
      </c>
      <c r="F271" s="5" t="s">
        <v>409</v>
      </c>
      <c r="G271" s="95" t="s">
        <v>670</v>
      </c>
      <c r="H271" s="96" t="s">
        <v>20</v>
      </c>
      <c r="I271" s="97">
        <v>10</v>
      </c>
      <c r="J271" s="97"/>
      <c r="K271" s="121" t="str">
        <f>IF(consolidado[[#This Row],[Observações]]="","Não","Sim")</f>
        <v>Não</v>
      </c>
      <c r="L271" s="119" t="s">
        <v>607</v>
      </c>
    </row>
    <row r="272" spans="1:12" ht="26.4" x14ac:dyDescent="0.3">
      <c r="A272" s="4" t="s">
        <v>578</v>
      </c>
      <c r="B272" s="4" t="s">
        <v>7</v>
      </c>
      <c r="C272" s="5" t="s">
        <v>486</v>
      </c>
      <c r="D272" s="5" t="s">
        <v>394</v>
      </c>
      <c r="E272" s="5" t="str">
        <f t="shared" si="4"/>
        <v>BE01</v>
      </c>
      <c r="F272" s="5" t="s">
        <v>547</v>
      </c>
      <c r="G272" s="95" t="s">
        <v>675</v>
      </c>
      <c r="H272" s="96" t="s">
        <v>12</v>
      </c>
      <c r="I272" s="97">
        <v>0</v>
      </c>
      <c r="J272" s="97"/>
      <c r="K272" s="121" t="str">
        <f>IF(consolidado[[#This Row],[Observações]]="","Não","Sim")</f>
        <v>Não</v>
      </c>
      <c r="L272" s="119">
        <v>15</v>
      </c>
    </row>
    <row r="273" spans="1:12" ht="26.4" x14ac:dyDescent="0.3">
      <c r="A273" s="4" t="s">
        <v>578</v>
      </c>
      <c r="B273" s="4" t="s">
        <v>7</v>
      </c>
      <c r="C273" s="5" t="s">
        <v>486</v>
      </c>
      <c r="D273" s="5" t="s">
        <v>394</v>
      </c>
      <c r="E273" s="5" t="str">
        <f t="shared" si="4"/>
        <v>BE01</v>
      </c>
      <c r="F273" s="5" t="s">
        <v>547</v>
      </c>
      <c r="G273" s="95" t="s">
        <v>676</v>
      </c>
      <c r="H273" s="96" t="s">
        <v>14</v>
      </c>
      <c r="I273" s="97">
        <v>4</v>
      </c>
      <c r="J273" s="97"/>
      <c r="K273" s="121" t="str">
        <f>IF(consolidado[[#This Row],[Observações]]="","Não","Sim")</f>
        <v>Não</v>
      </c>
      <c r="L273" s="119">
        <v>15</v>
      </c>
    </row>
    <row r="274" spans="1:12" ht="26.4" x14ac:dyDescent="0.3">
      <c r="A274" s="4" t="s">
        <v>578</v>
      </c>
      <c r="B274" s="4" t="s">
        <v>7</v>
      </c>
      <c r="C274" s="5" t="s">
        <v>486</v>
      </c>
      <c r="D274" s="5" t="s">
        <v>394</v>
      </c>
      <c r="E274" s="5" t="str">
        <f t="shared" si="4"/>
        <v>BE01</v>
      </c>
      <c r="F274" s="5" t="s">
        <v>547</v>
      </c>
      <c r="G274" s="95" t="s">
        <v>677</v>
      </c>
      <c r="H274" s="96" t="s">
        <v>16</v>
      </c>
      <c r="I274" s="97">
        <v>6</v>
      </c>
      <c r="J274" s="97"/>
      <c r="K274" s="121" t="str">
        <f>IF(consolidado[[#This Row],[Observações]]="","Não","Sim")</f>
        <v>Não</v>
      </c>
      <c r="L274" s="119">
        <v>15</v>
      </c>
    </row>
    <row r="275" spans="1:12" ht="28.8" x14ac:dyDescent="0.3">
      <c r="A275" s="4" t="s">
        <v>578</v>
      </c>
      <c r="B275" s="4" t="s">
        <v>7</v>
      </c>
      <c r="C275" s="5" t="s">
        <v>486</v>
      </c>
      <c r="D275" s="5" t="s">
        <v>394</v>
      </c>
      <c r="E275" s="5" t="str">
        <f t="shared" si="4"/>
        <v>BE01</v>
      </c>
      <c r="F275" s="5" t="s">
        <v>547</v>
      </c>
      <c r="G275" s="95" t="s">
        <v>678</v>
      </c>
      <c r="H275" s="96" t="s">
        <v>18</v>
      </c>
      <c r="I275" s="97">
        <v>8</v>
      </c>
      <c r="J275" s="97"/>
      <c r="K275" s="121" t="str">
        <f>IF(consolidado[[#This Row],[Observações]]="","Não","Sim")</f>
        <v>Não</v>
      </c>
      <c r="L275" s="119">
        <v>15</v>
      </c>
    </row>
    <row r="276" spans="1:12" ht="26.4" x14ac:dyDescent="0.3">
      <c r="A276" s="4" t="s">
        <v>578</v>
      </c>
      <c r="B276" s="4" t="s">
        <v>7</v>
      </c>
      <c r="C276" s="5" t="s">
        <v>486</v>
      </c>
      <c r="D276" s="5" t="s">
        <v>394</v>
      </c>
      <c r="E276" s="5" t="str">
        <f t="shared" si="4"/>
        <v>BE01</v>
      </c>
      <c r="F276" s="5" t="s">
        <v>547</v>
      </c>
      <c r="G276" s="95" t="s">
        <v>679</v>
      </c>
      <c r="H276" s="96" t="s">
        <v>20</v>
      </c>
      <c r="I276" s="97">
        <v>10</v>
      </c>
      <c r="J276" s="97"/>
      <c r="K276" s="121" t="str">
        <f>IF(consolidado[[#This Row],[Observações]]="","Não","Sim")</f>
        <v>Não</v>
      </c>
      <c r="L276" s="119">
        <v>15</v>
      </c>
    </row>
    <row r="277" spans="1:12" ht="26.4" x14ac:dyDescent="0.3">
      <c r="A277" s="4" t="s">
        <v>578</v>
      </c>
      <c r="B277" s="4" t="s">
        <v>7</v>
      </c>
      <c r="C277" s="5" t="s">
        <v>671</v>
      </c>
      <c r="D277" s="5" t="s">
        <v>396</v>
      </c>
      <c r="E277" s="5" t="str">
        <f t="shared" si="4"/>
        <v>BE02</v>
      </c>
      <c r="F277" s="5" t="s">
        <v>671</v>
      </c>
      <c r="G277" s="95" t="s">
        <v>680</v>
      </c>
      <c r="H277" s="96" t="s">
        <v>12</v>
      </c>
      <c r="I277" s="97">
        <v>0</v>
      </c>
      <c r="J277" s="97"/>
      <c r="K277" s="121" t="str">
        <f>IF(consolidado[[#This Row],[Observações]]="","Não","Sim")</f>
        <v>Não</v>
      </c>
      <c r="L277" s="119" t="s">
        <v>870</v>
      </c>
    </row>
    <row r="278" spans="1:12" ht="28.8" x14ac:dyDescent="0.3">
      <c r="A278" s="4" t="s">
        <v>578</v>
      </c>
      <c r="B278" s="4" t="s">
        <v>7</v>
      </c>
      <c r="C278" s="5" t="s">
        <v>671</v>
      </c>
      <c r="D278" s="5" t="s">
        <v>396</v>
      </c>
      <c r="E278" s="5" t="str">
        <f t="shared" si="4"/>
        <v>BE02</v>
      </c>
      <c r="F278" s="5" t="s">
        <v>671</v>
      </c>
      <c r="G278" s="95" t="s">
        <v>681</v>
      </c>
      <c r="H278" s="96" t="s">
        <v>16</v>
      </c>
      <c r="I278" s="97">
        <v>6</v>
      </c>
      <c r="J278" s="97"/>
      <c r="K278" s="121" t="str">
        <f>IF(consolidado[[#This Row],[Observações]]="","Não","Sim")</f>
        <v>Não</v>
      </c>
      <c r="L278" s="119" t="s">
        <v>870</v>
      </c>
    </row>
    <row r="279" spans="1:12" ht="28.8" x14ac:dyDescent="0.3">
      <c r="A279" s="4" t="s">
        <v>578</v>
      </c>
      <c r="B279" s="4" t="s">
        <v>7</v>
      </c>
      <c r="C279" s="5" t="s">
        <v>671</v>
      </c>
      <c r="D279" s="5" t="s">
        <v>396</v>
      </c>
      <c r="E279" s="5" t="str">
        <f t="shared" si="4"/>
        <v>BE02</v>
      </c>
      <c r="F279" s="5" t="s">
        <v>671</v>
      </c>
      <c r="G279" s="95" t="s">
        <v>682</v>
      </c>
      <c r="H279" s="96" t="s">
        <v>18</v>
      </c>
      <c r="I279" s="97">
        <v>8</v>
      </c>
      <c r="J279" s="97"/>
      <c r="K279" s="121" t="str">
        <f>IF(consolidado[[#This Row],[Observações]]="","Não","Sim")</f>
        <v>Não</v>
      </c>
      <c r="L279" s="119" t="s">
        <v>870</v>
      </c>
    </row>
    <row r="280" spans="1:12" ht="43.2" x14ac:dyDescent="0.3">
      <c r="A280" s="4" t="s">
        <v>578</v>
      </c>
      <c r="B280" s="4" t="s">
        <v>7</v>
      </c>
      <c r="C280" s="5" t="s">
        <v>671</v>
      </c>
      <c r="D280" s="5" t="s">
        <v>396</v>
      </c>
      <c r="E280" s="5" t="str">
        <f t="shared" si="4"/>
        <v>BE02</v>
      </c>
      <c r="F280" s="5" t="s">
        <v>671</v>
      </c>
      <c r="G280" s="95" t="s">
        <v>683</v>
      </c>
      <c r="H280" s="96" t="s">
        <v>20</v>
      </c>
      <c r="I280" s="97">
        <v>10</v>
      </c>
      <c r="J280" s="97"/>
      <c r="K280" s="121" t="str">
        <f>IF(consolidado[[#This Row],[Observações]]="","Não","Sim")</f>
        <v>Não</v>
      </c>
      <c r="L280" s="119" t="s">
        <v>870</v>
      </c>
    </row>
    <row r="281" spans="1:12" ht="43.2" x14ac:dyDescent="0.3">
      <c r="A281" s="4" t="s">
        <v>578</v>
      </c>
      <c r="B281" s="4" t="s">
        <v>7</v>
      </c>
      <c r="C281" s="5" t="s">
        <v>415</v>
      </c>
      <c r="D281" s="5" t="s">
        <v>397</v>
      </c>
      <c r="E281" s="5" t="str">
        <f t="shared" si="4"/>
        <v>BE03</v>
      </c>
      <c r="F281" s="5" t="s">
        <v>494</v>
      </c>
      <c r="G281" s="95" t="s">
        <v>684</v>
      </c>
      <c r="H281" s="96" t="s">
        <v>12</v>
      </c>
      <c r="I281" s="97">
        <v>0</v>
      </c>
      <c r="J281" s="97"/>
      <c r="K281" s="121" t="str">
        <f>IF(consolidado[[#This Row],[Observações]]="","Não","Sim")</f>
        <v>Não</v>
      </c>
      <c r="L281" s="119" t="s">
        <v>871</v>
      </c>
    </row>
    <row r="282" spans="1:12" ht="43.2" x14ac:dyDescent="0.3">
      <c r="A282" s="4" t="s">
        <v>578</v>
      </c>
      <c r="B282" s="4" t="s">
        <v>7</v>
      </c>
      <c r="C282" s="5" t="s">
        <v>415</v>
      </c>
      <c r="D282" s="5" t="s">
        <v>397</v>
      </c>
      <c r="E282" s="5" t="str">
        <f t="shared" si="4"/>
        <v>BE03</v>
      </c>
      <c r="F282" s="5" t="s">
        <v>494</v>
      </c>
      <c r="G282" s="95" t="s">
        <v>685</v>
      </c>
      <c r="H282" s="96" t="s">
        <v>14</v>
      </c>
      <c r="I282" s="97">
        <v>4</v>
      </c>
      <c r="J282" s="97"/>
      <c r="K282" s="121" t="str">
        <f>IF(consolidado[[#This Row],[Observações]]="","Não","Sim")</f>
        <v>Não</v>
      </c>
      <c r="L282" s="119" t="s">
        <v>871</v>
      </c>
    </row>
    <row r="283" spans="1:12" ht="39.6" x14ac:dyDescent="0.3">
      <c r="A283" s="4" t="s">
        <v>578</v>
      </c>
      <c r="B283" s="4" t="s">
        <v>7</v>
      </c>
      <c r="C283" s="5" t="s">
        <v>415</v>
      </c>
      <c r="D283" s="5" t="s">
        <v>397</v>
      </c>
      <c r="E283" s="5" t="str">
        <f t="shared" si="4"/>
        <v>BE03</v>
      </c>
      <c r="F283" s="5" t="s">
        <v>494</v>
      </c>
      <c r="G283" s="95" t="s">
        <v>686</v>
      </c>
      <c r="H283" s="96" t="s">
        <v>16</v>
      </c>
      <c r="I283" s="97">
        <v>6</v>
      </c>
      <c r="J283" s="97"/>
      <c r="K283" s="121" t="str">
        <f>IF(consolidado[[#This Row],[Observações]]="","Não","Sim")</f>
        <v>Não</v>
      </c>
      <c r="L283" s="119" t="s">
        <v>871</v>
      </c>
    </row>
    <row r="284" spans="1:12" ht="39.6" x14ac:dyDescent="0.3">
      <c r="A284" s="4" t="s">
        <v>578</v>
      </c>
      <c r="B284" s="4" t="s">
        <v>7</v>
      </c>
      <c r="C284" s="5" t="s">
        <v>415</v>
      </c>
      <c r="D284" s="5" t="s">
        <v>397</v>
      </c>
      <c r="E284" s="5" t="str">
        <f t="shared" si="4"/>
        <v>BE03</v>
      </c>
      <c r="F284" s="5" t="s">
        <v>494</v>
      </c>
      <c r="G284" s="95" t="s">
        <v>687</v>
      </c>
      <c r="H284" s="96" t="s">
        <v>18</v>
      </c>
      <c r="I284" s="97">
        <v>8</v>
      </c>
      <c r="J284" s="97"/>
      <c r="K284" s="121" t="str">
        <f>IF(consolidado[[#This Row],[Observações]]="","Não","Sim")</f>
        <v>Não</v>
      </c>
      <c r="L284" s="119" t="s">
        <v>871</v>
      </c>
    </row>
    <row r="285" spans="1:12" ht="39.6" x14ac:dyDescent="0.3">
      <c r="A285" s="4" t="s">
        <v>578</v>
      </c>
      <c r="B285" s="4" t="s">
        <v>7</v>
      </c>
      <c r="C285" s="5" t="s">
        <v>415</v>
      </c>
      <c r="D285" s="5" t="s">
        <v>397</v>
      </c>
      <c r="E285" s="5" t="str">
        <f t="shared" si="4"/>
        <v>BE03</v>
      </c>
      <c r="F285" s="5" t="s">
        <v>494</v>
      </c>
      <c r="G285" s="95" t="s">
        <v>688</v>
      </c>
      <c r="H285" s="96" t="s">
        <v>20</v>
      </c>
      <c r="I285" s="97">
        <v>10</v>
      </c>
      <c r="J285" s="97"/>
      <c r="K285" s="121" t="str">
        <f>IF(consolidado[[#This Row],[Observações]]="","Não","Sim")</f>
        <v>Não</v>
      </c>
      <c r="L285" s="119" t="s">
        <v>871</v>
      </c>
    </row>
    <row r="286" spans="1:12" ht="26.4" x14ac:dyDescent="0.3">
      <c r="A286" s="4" t="s">
        <v>578</v>
      </c>
      <c r="B286" s="4" t="s">
        <v>7</v>
      </c>
      <c r="C286" s="5" t="s">
        <v>377</v>
      </c>
      <c r="D286" s="5" t="s">
        <v>398</v>
      </c>
      <c r="E286" s="5" t="str">
        <f t="shared" si="4"/>
        <v>BE04</v>
      </c>
      <c r="F286" s="5" t="s">
        <v>672</v>
      </c>
      <c r="G286" s="95" t="s">
        <v>541</v>
      </c>
      <c r="H286" s="96" t="s">
        <v>12</v>
      </c>
      <c r="I286" s="97">
        <v>0</v>
      </c>
      <c r="J286" s="97"/>
      <c r="K286" s="121" t="str">
        <f>IF(consolidado[[#This Row],[Observações]]="","Não","Sim")</f>
        <v>Não</v>
      </c>
      <c r="L286" s="119">
        <v>12</v>
      </c>
    </row>
    <row r="287" spans="1:12" ht="26.4" x14ac:dyDescent="0.3">
      <c r="A287" s="4" t="s">
        <v>578</v>
      </c>
      <c r="B287" s="4" t="s">
        <v>7</v>
      </c>
      <c r="C287" s="5" t="s">
        <v>377</v>
      </c>
      <c r="D287" s="5" t="s">
        <v>398</v>
      </c>
      <c r="E287" s="5" t="str">
        <f t="shared" si="4"/>
        <v>BE04</v>
      </c>
      <c r="F287" s="5" t="s">
        <v>672</v>
      </c>
      <c r="G287" s="95" t="s">
        <v>542</v>
      </c>
      <c r="H287" s="106" t="s">
        <v>14</v>
      </c>
      <c r="I287" s="107">
        <v>0</v>
      </c>
      <c r="J287" s="107" t="s">
        <v>534</v>
      </c>
      <c r="K287" s="121" t="str">
        <f>IF(consolidado[[#This Row],[Observações]]="","Não","Sim")</f>
        <v>Sim</v>
      </c>
      <c r="L287" s="119">
        <v>12</v>
      </c>
    </row>
    <row r="288" spans="1:12" ht="28.8" x14ac:dyDescent="0.3">
      <c r="A288" s="4" t="s">
        <v>578</v>
      </c>
      <c r="B288" s="4" t="s">
        <v>7</v>
      </c>
      <c r="C288" s="5" t="s">
        <v>377</v>
      </c>
      <c r="D288" s="5" t="s">
        <v>398</v>
      </c>
      <c r="E288" s="5" t="str">
        <f t="shared" si="4"/>
        <v>BE04</v>
      </c>
      <c r="F288" s="5" t="s">
        <v>672</v>
      </c>
      <c r="G288" s="95" t="s">
        <v>543</v>
      </c>
      <c r="H288" s="96" t="s">
        <v>16</v>
      </c>
      <c r="I288" s="97">
        <v>6</v>
      </c>
      <c r="J288" s="97"/>
      <c r="K288" s="121" t="str">
        <f>IF(consolidado[[#This Row],[Observações]]="","Não","Sim")</f>
        <v>Não</v>
      </c>
      <c r="L288" s="119">
        <v>12</v>
      </c>
    </row>
    <row r="289" spans="1:12" ht="28.8" x14ac:dyDescent="0.3">
      <c r="A289" s="4" t="s">
        <v>578</v>
      </c>
      <c r="B289" s="4" t="s">
        <v>7</v>
      </c>
      <c r="C289" s="5" t="s">
        <v>377</v>
      </c>
      <c r="D289" s="5" t="s">
        <v>398</v>
      </c>
      <c r="E289" s="5" t="str">
        <f t="shared" si="4"/>
        <v>BE04</v>
      </c>
      <c r="F289" s="5" t="s">
        <v>672</v>
      </c>
      <c r="G289" s="95" t="s">
        <v>544</v>
      </c>
      <c r="H289" s="96" t="s">
        <v>18</v>
      </c>
      <c r="I289" s="97">
        <v>8</v>
      </c>
      <c r="J289" s="97"/>
      <c r="K289" s="121" t="str">
        <f>IF(consolidado[[#This Row],[Observações]]="","Não","Sim")</f>
        <v>Não</v>
      </c>
      <c r="L289" s="119">
        <v>12</v>
      </c>
    </row>
    <row r="290" spans="1:12" ht="28.8" x14ac:dyDescent="0.3">
      <c r="A290" s="4" t="s">
        <v>578</v>
      </c>
      <c r="B290" s="4" t="s">
        <v>7</v>
      </c>
      <c r="C290" s="5" t="s">
        <v>377</v>
      </c>
      <c r="D290" s="5" t="s">
        <v>398</v>
      </c>
      <c r="E290" s="5" t="str">
        <f t="shared" si="4"/>
        <v>BE04</v>
      </c>
      <c r="F290" s="5" t="s">
        <v>672</v>
      </c>
      <c r="G290" s="95" t="s">
        <v>545</v>
      </c>
      <c r="H290" s="96" t="s">
        <v>20</v>
      </c>
      <c r="I290" s="97">
        <v>10</v>
      </c>
      <c r="J290" s="97"/>
      <c r="K290" s="121" t="str">
        <f>IF(consolidado[[#This Row],[Observações]]="","Não","Sim")</f>
        <v>Não</v>
      </c>
      <c r="L290" s="119">
        <v>12</v>
      </c>
    </row>
    <row r="291" spans="1:12" ht="28.8" x14ac:dyDescent="0.3">
      <c r="A291" s="4" t="s">
        <v>578</v>
      </c>
      <c r="B291" s="4" t="s">
        <v>100</v>
      </c>
      <c r="C291" s="5" t="s">
        <v>472</v>
      </c>
      <c r="D291" s="5" t="s">
        <v>400</v>
      </c>
      <c r="E291" s="5" t="str">
        <f t="shared" si="4"/>
        <v>BS01</v>
      </c>
      <c r="F291" s="5" t="s">
        <v>552</v>
      </c>
      <c r="G291" s="95" t="s">
        <v>689</v>
      </c>
      <c r="H291" s="96" t="s">
        <v>12</v>
      </c>
      <c r="I291" s="97">
        <v>0</v>
      </c>
      <c r="J291" s="97"/>
      <c r="K291" s="121" t="str">
        <f>IF(consolidado[[#This Row],[Observações]]="","Não","Sim")</f>
        <v>Não</v>
      </c>
      <c r="L291" s="119" t="s">
        <v>602</v>
      </c>
    </row>
    <row r="292" spans="1:12" ht="43.2" x14ac:dyDescent="0.3">
      <c r="A292" s="4" t="s">
        <v>578</v>
      </c>
      <c r="B292" s="4" t="s">
        <v>100</v>
      </c>
      <c r="C292" s="5" t="s">
        <v>472</v>
      </c>
      <c r="D292" s="5" t="s">
        <v>400</v>
      </c>
      <c r="E292" s="5" t="str">
        <f t="shared" si="4"/>
        <v>BS01</v>
      </c>
      <c r="F292" s="5" t="s">
        <v>552</v>
      </c>
      <c r="G292" s="95" t="s">
        <v>690</v>
      </c>
      <c r="H292" s="106" t="s">
        <v>16</v>
      </c>
      <c r="I292" s="107">
        <v>0</v>
      </c>
      <c r="J292" s="107" t="s">
        <v>534</v>
      </c>
      <c r="K292" s="121" t="str">
        <f>IF(consolidado[[#This Row],[Observações]]="","Não","Sim")</f>
        <v>Sim</v>
      </c>
      <c r="L292" s="119" t="s">
        <v>602</v>
      </c>
    </row>
    <row r="293" spans="1:12" ht="26.4" x14ac:dyDescent="0.3">
      <c r="A293" s="4" t="s">
        <v>578</v>
      </c>
      <c r="B293" s="4" t="s">
        <v>100</v>
      </c>
      <c r="C293" s="5" t="s">
        <v>472</v>
      </c>
      <c r="D293" s="5" t="s">
        <v>400</v>
      </c>
      <c r="E293" s="5" t="str">
        <f t="shared" si="4"/>
        <v>BS01</v>
      </c>
      <c r="F293" s="5" t="s">
        <v>552</v>
      </c>
      <c r="G293" s="95" t="s">
        <v>691</v>
      </c>
      <c r="H293" s="96" t="s">
        <v>18</v>
      </c>
      <c r="I293" s="97">
        <v>8</v>
      </c>
      <c r="J293" s="97"/>
      <c r="K293" s="121" t="str">
        <f>IF(consolidado[[#This Row],[Observações]]="","Não","Sim")</f>
        <v>Não</v>
      </c>
      <c r="L293" s="119" t="s">
        <v>602</v>
      </c>
    </row>
    <row r="294" spans="1:12" ht="28.8" x14ac:dyDescent="0.3">
      <c r="A294" s="4" t="s">
        <v>578</v>
      </c>
      <c r="B294" s="4" t="s">
        <v>100</v>
      </c>
      <c r="C294" s="5" t="s">
        <v>472</v>
      </c>
      <c r="D294" s="5" t="s">
        <v>400</v>
      </c>
      <c r="E294" s="5" t="str">
        <f t="shared" si="4"/>
        <v>BS01</v>
      </c>
      <c r="F294" s="5" t="s">
        <v>552</v>
      </c>
      <c r="G294" s="95" t="s">
        <v>692</v>
      </c>
      <c r="H294" s="96" t="s">
        <v>20</v>
      </c>
      <c r="I294" s="97">
        <v>10</v>
      </c>
      <c r="J294" s="97"/>
      <c r="K294" s="121" t="str">
        <f>IF(consolidado[[#This Row],[Observações]]="","Não","Sim")</f>
        <v>Não</v>
      </c>
      <c r="L294" s="119" t="s">
        <v>602</v>
      </c>
    </row>
    <row r="295" spans="1:12" ht="26.4" x14ac:dyDescent="0.3">
      <c r="A295" s="4" t="s">
        <v>578</v>
      </c>
      <c r="B295" s="4" t="s">
        <v>100</v>
      </c>
      <c r="C295" s="5" t="s">
        <v>472</v>
      </c>
      <c r="D295" s="5" t="s">
        <v>402</v>
      </c>
      <c r="E295" s="5" t="str">
        <f t="shared" si="4"/>
        <v>BS02</v>
      </c>
      <c r="F295" s="5" t="s">
        <v>553</v>
      </c>
      <c r="G295" s="95" t="s">
        <v>693</v>
      </c>
      <c r="H295" s="96" t="s">
        <v>12</v>
      </c>
      <c r="I295" s="97">
        <v>0</v>
      </c>
      <c r="J295" s="97"/>
      <c r="K295" s="121" t="str">
        <f>IF(consolidado[[#This Row],[Observações]]="","Não","Sim")</f>
        <v>Não</v>
      </c>
      <c r="L295" s="119">
        <v>8</v>
      </c>
    </row>
    <row r="296" spans="1:12" ht="28.8" x14ac:dyDescent="0.3">
      <c r="A296" s="4" t="s">
        <v>578</v>
      </c>
      <c r="B296" s="4" t="s">
        <v>100</v>
      </c>
      <c r="C296" s="5" t="s">
        <v>472</v>
      </c>
      <c r="D296" s="5" t="s">
        <v>402</v>
      </c>
      <c r="E296" s="5" t="str">
        <f t="shared" si="4"/>
        <v>BS02</v>
      </c>
      <c r="F296" s="5" t="s">
        <v>553</v>
      </c>
      <c r="G296" s="95" t="s">
        <v>694</v>
      </c>
      <c r="H296" s="106" t="s">
        <v>16</v>
      </c>
      <c r="I296" s="107">
        <v>0</v>
      </c>
      <c r="J296" s="107" t="s">
        <v>534</v>
      </c>
      <c r="K296" s="121" t="str">
        <f>IF(consolidado[[#This Row],[Observações]]="","Não","Sim")</f>
        <v>Sim</v>
      </c>
      <c r="L296" s="119">
        <v>8</v>
      </c>
    </row>
    <row r="297" spans="1:12" ht="28.8" x14ac:dyDescent="0.3">
      <c r="A297" s="4" t="s">
        <v>578</v>
      </c>
      <c r="B297" s="4" t="s">
        <v>100</v>
      </c>
      <c r="C297" s="5" t="s">
        <v>472</v>
      </c>
      <c r="D297" s="5" t="s">
        <v>402</v>
      </c>
      <c r="E297" s="5" t="str">
        <f t="shared" si="4"/>
        <v>BS02</v>
      </c>
      <c r="F297" s="5" t="s">
        <v>553</v>
      </c>
      <c r="G297" s="95" t="s">
        <v>695</v>
      </c>
      <c r="H297" s="96" t="s">
        <v>18</v>
      </c>
      <c r="I297" s="97">
        <v>8</v>
      </c>
      <c r="J297" s="97"/>
      <c r="K297" s="121" t="str">
        <f>IF(consolidado[[#This Row],[Observações]]="","Não","Sim")</f>
        <v>Não</v>
      </c>
      <c r="L297" s="119">
        <v>8</v>
      </c>
    </row>
    <row r="298" spans="1:12" ht="28.8" x14ac:dyDescent="0.3">
      <c r="A298" s="4" t="s">
        <v>578</v>
      </c>
      <c r="B298" s="4" t="s">
        <v>100</v>
      </c>
      <c r="C298" s="5" t="s">
        <v>472</v>
      </c>
      <c r="D298" s="5" t="s">
        <v>402</v>
      </c>
      <c r="E298" s="5" t="str">
        <f t="shared" si="4"/>
        <v>BS02</v>
      </c>
      <c r="F298" s="5" t="s">
        <v>553</v>
      </c>
      <c r="G298" s="95" t="s">
        <v>696</v>
      </c>
      <c r="H298" s="96" t="s">
        <v>20</v>
      </c>
      <c r="I298" s="97">
        <v>10</v>
      </c>
      <c r="J298" s="97"/>
      <c r="K298" s="121" t="str">
        <f>IF(consolidado[[#This Row],[Observações]]="","Não","Sim")</f>
        <v>Não</v>
      </c>
      <c r="L298" s="119">
        <v>8</v>
      </c>
    </row>
    <row r="299" spans="1:12" ht="28.8" x14ac:dyDescent="0.3">
      <c r="A299" s="4" t="s">
        <v>578</v>
      </c>
      <c r="B299" s="4" t="s">
        <v>100</v>
      </c>
      <c r="C299" s="5" t="s">
        <v>472</v>
      </c>
      <c r="D299" s="5" t="s">
        <v>405</v>
      </c>
      <c r="E299" s="5" t="str">
        <f t="shared" si="4"/>
        <v>BS03</v>
      </c>
      <c r="F299" s="5" t="s">
        <v>554</v>
      </c>
      <c r="G299" s="95" t="s">
        <v>697</v>
      </c>
      <c r="H299" s="96" t="s">
        <v>12</v>
      </c>
      <c r="I299" s="97">
        <v>0</v>
      </c>
      <c r="J299" s="97"/>
      <c r="K299" s="121" t="str">
        <f>IF(consolidado[[#This Row],[Observações]]="","Não","Sim")</f>
        <v>Não</v>
      </c>
      <c r="L299" s="119">
        <v>8</v>
      </c>
    </row>
    <row r="300" spans="1:12" ht="26.4" x14ac:dyDescent="0.3">
      <c r="A300" s="4" t="s">
        <v>578</v>
      </c>
      <c r="B300" s="4" t="s">
        <v>100</v>
      </c>
      <c r="C300" s="5" t="s">
        <v>472</v>
      </c>
      <c r="D300" s="5" t="s">
        <v>405</v>
      </c>
      <c r="E300" s="5" t="str">
        <f t="shared" si="4"/>
        <v>BS03</v>
      </c>
      <c r="F300" s="5" t="s">
        <v>554</v>
      </c>
      <c r="G300" s="95" t="s">
        <v>698</v>
      </c>
      <c r="H300" s="96" t="s">
        <v>18</v>
      </c>
      <c r="I300" s="97">
        <v>8</v>
      </c>
      <c r="J300" s="97"/>
      <c r="K300" s="121" t="str">
        <f>IF(consolidado[[#This Row],[Observações]]="","Não","Sim")</f>
        <v>Não</v>
      </c>
      <c r="L300" s="119">
        <v>8</v>
      </c>
    </row>
    <row r="301" spans="1:12" ht="28.8" x14ac:dyDescent="0.3">
      <c r="A301" s="4" t="s">
        <v>578</v>
      </c>
      <c r="B301" s="4" t="s">
        <v>100</v>
      </c>
      <c r="C301" s="5" t="s">
        <v>472</v>
      </c>
      <c r="D301" s="5" t="s">
        <v>405</v>
      </c>
      <c r="E301" s="5" t="str">
        <f t="shared" si="4"/>
        <v>BS03</v>
      </c>
      <c r="F301" s="5" t="s">
        <v>554</v>
      </c>
      <c r="G301" s="95" t="s">
        <v>699</v>
      </c>
      <c r="H301" s="96" t="s">
        <v>20</v>
      </c>
      <c r="I301" s="97">
        <v>10</v>
      </c>
      <c r="J301" s="97"/>
      <c r="K301" s="121" t="str">
        <f>IF(consolidado[[#This Row],[Observações]]="","Não","Sim")</f>
        <v>Não</v>
      </c>
      <c r="L301" s="119">
        <v>8</v>
      </c>
    </row>
    <row r="302" spans="1:12" ht="28.8" x14ac:dyDescent="0.3">
      <c r="A302" s="4" t="s">
        <v>578</v>
      </c>
      <c r="B302" s="4" t="s">
        <v>100</v>
      </c>
      <c r="C302" s="5" t="s">
        <v>472</v>
      </c>
      <c r="D302" s="5" t="s">
        <v>407</v>
      </c>
      <c r="E302" s="5" t="str">
        <f t="shared" si="4"/>
        <v>BS04</v>
      </c>
      <c r="F302" s="5" t="s">
        <v>555</v>
      </c>
      <c r="G302" s="95" t="s">
        <v>700</v>
      </c>
      <c r="H302" s="96" t="s">
        <v>12</v>
      </c>
      <c r="I302" s="97">
        <v>0</v>
      </c>
      <c r="J302" s="97"/>
      <c r="K302" s="121" t="str">
        <f>IF(consolidado[[#This Row],[Observações]]="","Não","Sim")</f>
        <v>Não</v>
      </c>
      <c r="L302" s="119">
        <v>8</v>
      </c>
    </row>
    <row r="303" spans="1:12" ht="28.8" x14ac:dyDescent="0.3">
      <c r="A303" s="4" t="s">
        <v>578</v>
      </c>
      <c r="B303" s="4" t="s">
        <v>100</v>
      </c>
      <c r="C303" s="5" t="s">
        <v>472</v>
      </c>
      <c r="D303" s="5" t="s">
        <v>407</v>
      </c>
      <c r="E303" s="5" t="str">
        <f t="shared" si="4"/>
        <v>BS04</v>
      </c>
      <c r="F303" s="5" t="s">
        <v>555</v>
      </c>
      <c r="G303" s="95" t="s">
        <v>701</v>
      </c>
      <c r="H303" s="96" t="s">
        <v>18</v>
      </c>
      <c r="I303" s="97">
        <v>8</v>
      </c>
      <c r="J303" s="97"/>
      <c r="K303" s="121" t="str">
        <f>IF(consolidado[[#This Row],[Observações]]="","Não","Sim")</f>
        <v>Não</v>
      </c>
      <c r="L303" s="119">
        <v>8</v>
      </c>
    </row>
    <row r="304" spans="1:12" ht="28.8" x14ac:dyDescent="0.3">
      <c r="A304" s="4" t="s">
        <v>578</v>
      </c>
      <c r="B304" s="4" t="s">
        <v>100</v>
      </c>
      <c r="C304" s="5" t="s">
        <v>472</v>
      </c>
      <c r="D304" s="5" t="s">
        <v>407</v>
      </c>
      <c r="E304" s="5" t="str">
        <f t="shared" si="4"/>
        <v>BS04</v>
      </c>
      <c r="F304" s="5" t="s">
        <v>555</v>
      </c>
      <c r="G304" s="95" t="s">
        <v>702</v>
      </c>
      <c r="H304" s="96" t="s">
        <v>20</v>
      </c>
      <c r="I304" s="97">
        <v>10</v>
      </c>
      <c r="J304" s="97"/>
      <c r="K304" s="121" t="str">
        <f>IF(consolidado[[#This Row],[Observações]]="","Não","Sim")</f>
        <v>Não</v>
      </c>
      <c r="L304" s="119">
        <v>8</v>
      </c>
    </row>
    <row r="305" spans="1:12" ht="28.8" x14ac:dyDescent="0.3">
      <c r="A305" s="4" t="s">
        <v>578</v>
      </c>
      <c r="B305" s="4" t="s">
        <v>239</v>
      </c>
      <c r="C305" s="5" t="s">
        <v>504</v>
      </c>
      <c r="D305" s="5" t="s">
        <v>673</v>
      </c>
      <c r="E305" s="5" t="str">
        <f t="shared" si="4"/>
        <v>BG01</v>
      </c>
      <c r="F305" s="5" t="s">
        <v>556</v>
      </c>
      <c r="G305" s="95" t="s">
        <v>703</v>
      </c>
      <c r="H305" s="96" t="s">
        <v>12</v>
      </c>
      <c r="I305" s="97">
        <v>0</v>
      </c>
      <c r="J305" s="97"/>
      <c r="K305" s="121" t="str">
        <f>IF(consolidado[[#This Row],[Observações]]="","Não","Sim")</f>
        <v>Não</v>
      </c>
      <c r="L305" s="119">
        <v>12</v>
      </c>
    </row>
    <row r="306" spans="1:12" ht="28.8" x14ac:dyDescent="0.3">
      <c r="A306" s="4" t="s">
        <v>578</v>
      </c>
      <c r="B306" s="4" t="s">
        <v>239</v>
      </c>
      <c r="C306" s="5" t="s">
        <v>504</v>
      </c>
      <c r="D306" s="5" t="s">
        <v>673</v>
      </c>
      <c r="E306" s="5" t="str">
        <f t="shared" si="4"/>
        <v>BG01</v>
      </c>
      <c r="F306" s="5" t="s">
        <v>556</v>
      </c>
      <c r="G306" s="95" t="s">
        <v>704</v>
      </c>
      <c r="H306" s="106" t="s">
        <v>18</v>
      </c>
      <c r="I306" s="107">
        <v>0</v>
      </c>
      <c r="J306" s="107" t="s">
        <v>534</v>
      </c>
      <c r="K306" s="121" t="str">
        <f>IF(consolidado[[#This Row],[Observações]]="","Não","Sim")</f>
        <v>Sim</v>
      </c>
      <c r="L306" s="119">
        <v>12</v>
      </c>
    </row>
    <row r="307" spans="1:12" ht="28.8" x14ac:dyDescent="0.3">
      <c r="A307" s="4" t="s">
        <v>578</v>
      </c>
      <c r="B307" s="4" t="s">
        <v>239</v>
      </c>
      <c r="C307" s="5" t="s">
        <v>504</v>
      </c>
      <c r="D307" s="5" t="s">
        <v>673</v>
      </c>
      <c r="E307" s="5" t="str">
        <f t="shared" si="4"/>
        <v>BG01</v>
      </c>
      <c r="F307" s="5" t="s">
        <v>556</v>
      </c>
      <c r="G307" s="95" t="s">
        <v>705</v>
      </c>
      <c r="H307" s="96" t="s">
        <v>20</v>
      </c>
      <c r="I307" s="97">
        <v>10</v>
      </c>
      <c r="J307" s="97"/>
      <c r="K307" s="121" t="str">
        <f>IF(consolidado[[#This Row],[Observações]]="","Não","Sim")</f>
        <v>Não</v>
      </c>
      <c r="L307" s="119">
        <v>12</v>
      </c>
    </row>
    <row r="308" spans="1:12" ht="28.8" x14ac:dyDescent="0.3">
      <c r="A308" s="4" t="s">
        <v>578</v>
      </c>
      <c r="B308" s="4" t="s">
        <v>239</v>
      </c>
      <c r="C308" s="5" t="s">
        <v>504</v>
      </c>
      <c r="D308" s="5" t="s">
        <v>674</v>
      </c>
      <c r="E308" s="5" t="str">
        <f t="shared" si="4"/>
        <v>BG02</v>
      </c>
      <c r="F308" s="5" t="s">
        <v>557</v>
      </c>
      <c r="G308" s="95" t="s">
        <v>706</v>
      </c>
      <c r="H308" s="96" t="s">
        <v>12</v>
      </c>
      <c r="I308" s="97">
        <v>0</v>
      </c>
      <c r="J308" s="97"/>
      <c r="K308" s="121" t="str">
        <f>IF(consolidado[[#This Row],[Observações]]="","Não","Sim")</f>
        <v>Não</v>
      </c>
      <c r="L308" s="119">
        <v>16</v>
      </c>
    </row>
    <row r="309" spans="1:12" ht="28.8" x14ac:dyDescent="0.3">
      <c r="A309" s="4" t="s">
        <v>578</v>
      </c>
      <c r="B309" s="4" t="s">
        <v>239</v>
      </c>
      <c r="C309" s="5" t="s">
        <v>504</v>
      </c>
      <c r="D309" s="5" t="s">
        <v>674</v>
      </c>
      <c r="E309" s="5" t="str">
        <f t="shared" si="4"/>
        <v>BG02</v>
      </c>
      <c r="F309" s="5" t="s">
        <v>557</v>
      </c>
      <c r="G309" s="95" t="s">
        <v>707</v>
      </c>
      <c r="H309" s="106" t="s">
        <v>18</v>
      </c>
      <c r="I309" s="107">
        <v>0</v>
      </c>
      <c r="J309" s="107" t="s">
        <v>534</v>
      </c>
      <c r="K309" s="121" t="str">
        <f>IF(consolidado[[#This Row],[Observações]]="","Não","Sim")</f>
        <v>Sim</v>
      </c>
      <c r="L309" s="119">
        <v>16</v>
      </c>
    </row>
    <row r="310" spans="1:12" ht="28.8" x14ac:dyDescent="0.3">
      <c r="A310" s="4" t="s">
        <v>578</v>
      </c>
      <c r="B310" s="4" t="s">
        <v>239</v>
      </c>
      <c r="C310" s="5" t="s">
        <v>504</v>
      </c>
      <c r="D310" s="5" t="s">
        <v>674</v>
      </c>
      <c r="E310" s="5" t="str">
        <f t="shared" si="4"/>
        <v>BG02</v>
      </c>
      <c r="F310" s="5" t="s">
        <v>557</v>
      </c>
      <c r="G310" s="95" t="s">
        <v>708</v>
      </c>
      <c r="H310" s="96" t="s">
        <v>20</v>
      </c>
      <c r="I310" s="97">
        <v>10</v>
      </c>
      <c r="J310" s="97"/>
      <c r="K310" s="121" t="str">
        <f>IF(consolidado[[#This Row],[Observações]]="","Não","Sim")</f>
        <v>Não</v>
      </c>
      <c r="L310" s="119">
        <v>16</v>
      </c>
    </row>
    <row r="311" spans="1:12" ht="57.6" x14ac:dyDescent="0.3">
      <c r="A311" s="4" t="s">
        <v>579</v>
      </c>
      <c r="B311" s="4" t="s">
        <v>7</v>
      </c>
      <c r="C311" s="10" t="s">
        <v>410</v>
      </c>
      <c r="D311" s="10" t="s">
        <v>411</v>
      </c>
      <c r="E311" s="5" t="str">
        <f t="shared" si="4"/>
        <v>CE01</v>
      </c>
      <c r="F311" s="10" t="s">
        <v>412</v>
      </c>
      <c r="G311" s="95" t="s">
        <v>709</v>
      </c>
      <c r="H311" s="96" t="s">
        <v>12</v>
      </c>
      <c r="I311" s="97">
        <v>0</v>
      </c>
      <c r="J311" s="97"/>
      <c r="K311" s="121" t="str">
        <f>IF(consolidado[[#This Row],[Observações]]="","Não","Sim")</f>
        <v>Não</v>
      </c>
      <c r="L311" s="119">
        <v>12</v>
      </c>
    </row>
    <row r="312" spans="1:12" ht="43.2" x14ac:dyDescent="0.3">
      <c r="A312" s="4" t="s">
        <v>579</v>
      </c>
      <c r="B312" s="4" t="s">
        <v>7</v>
      </c>
      <c r="C312" s="10" t="s">
        <v>410</v>
      </c>
      <c r="D312" s="10" t="s">
        <v>411</v>
      </c>
      <c r="E312" s="5" t="str">
        <f t="shared" si="4"/>
        <v>CE01</v>
      </c>
      <c r="F312" s="10" t="s">
        <v>412</v>
      </c>
      <c r="G312" s="95" t="s">
        <v>710</v>
      </c>
      <c r="H312" s="106" t="s">
        <v>16</v>
      </c>
      <c r="I312" s="107">
        <v>0</v>
      </c>
      <c r="J312" s="107" t="s">
        <v>534</v>
      </c>
      <c r="K312" s="121" t="str">
        <f>IF(consolidado[[#This Row],[Observações]]="","Não","Sim")</f>
        <v>Sim</v>
      </c>
      <c r="L312" s="119">
        <v>12</v>
      </c>
    </row>
    <row r="313" spans="1:12" ht="57.6" x14ac:dyDescent="0.3">
      <c r="A313" s="4" t="s">
        <v>579</v>
      </c>
      <c r="B313" s="4" t="s">
        <v>7</v>
      </c>
      <c r="C313" s="10" t="s">
        <v>410</v>
      </c>
      <c r="D313" s="10" t="s">
        <v>411</v>
      </c>
      <c r="E313" s="5" t="str">
        <f t="shared" si="4"/>
        <v>CE01</v>
      </c>
      <c r="F313" s="10" t="s">
        <v>412</v>
      </c>
      <c r="G313" s="95" t="s">
        <v>711</v>
      </c>
      <c r="H313" s="96" t="s">
        <v>18</v>
      </c>
      <c r="I313" s="97">
        <v>8</v>
      </c>
      <c r="J313" s="97"/>
      <c r="K313" s="121" t="str">
        <f>IF(consolidado[[#This Row],[Observações]]="","Não","Sim")</f>
        <v>Não</v>
      </c>
      <c r="L313" s="119">
        <v>12</v>
      </c>
    </row>
    <row r="314" spans="1:12" ht="57.6" x14ac:dyDescent="0.3">
      <c r="A314" s="4" t="s">
        <v>579</v>
      </c>
      <c r="B314" s="4" t="s">
        <v>7</v>
      </c>
      <c r="C314" s="10" t="s">
        <v>410</v>
      </c>
      <c r="D314" s="10" t="s">
        <v>411</v>
      </c>
      <c r="E314" s="5" t="str">
        <f t="shared" si="4"/>
        <v>CE01</v>
      </c>
      <c r="F314" s="10" t="s">
        <v>412</v>
      </c>
      <c r="G314" s="95" t="s">
        <v>712</v>
      </c>
      <c r="H314" s="96" t="s">
        <v>20</v>
      </c>
      <c r="I314" s="97">
        <v>10</v>
      </c>
      <c r="J314" s="97"/>
      <c r="K314" s="121" t="str">
        <f>IF(consolidado[[#This Row],[Observações]]="","Não","Sim")</f>
        <v>Não</v>
      </c>
      <c r="L314" s="119">
        <v>12</v>
      </c>
    </row>
    <row r="315" spans="1:12" ht="57.6" x14ac:dyDescent="0.3">
      <c r="A315" s="4" t="s">
        <v>579</v>
      </c>
      <c r="B315" s="4" t="s">
        <v>7</v>
      </c>
      <c r="C315" s="10" t="s">
        <v>410</v>
      </c>
      <c r="D315" s="10" t="s">
        <v>413</v>
      </c>
      <c r="E315" s="5" t="str">
        <f t="shared" si="4"/>
        <v>CE02</v>
      </c>
      <c r="F315" s="10" t="s">
        <v>414</v>
      </c>
      <c r="G315" s="99" t="s">
        <v>713</v>
      </c>
      <c r="H315" s="96" t="s">
        <v>12</v>
      </c>
      <c r="I315" s="97">
        <v>0</v>
      </c>
      <c r="J315" s="97"/>
      <c r="K315" s="121" t="str">
        <f>IF(consolidado[[#This Row],[Observações]]="","Não","Sim")</f>
        <v>Não</v>
      </c>
      <c r="L315" s="119">
        <v>12</v>
      </c>
    </row>
    <row r="316" spans="1:12" ht="43.2" x14ac:dyDescent="0.3">
      <c r="A316" s="4" t="s">
        <v>579</v>
      </c>
      <c r="B316" s="4" t="s">
        <v>7</v>
      </c>
      <c r="C316" s="10" t="s">
        <v>410</v>
      </c>
      <c r="D316" s="10" t="s">
        <v>413</v>
      </c>
      <c r="E316" s="5" t="str">
        <f t="shared" si="4"/>
        <v>CE02</v>
      </c>
      <c r="F316" s="10" t="s">
        <v>414</v>
      </c>
      <c r="G316" s="95" t="s">
        <v>714</v>
      </c>
      <c r="H316" s="96" t="s">
        <v>16</v>
      </c>
      <c r="I316" s="97">
        <v>6</v>
      </c>
      <c r="J316" s="97"/>
      <c r="K316" s="121" t="str">
        <f>IF(consolidado[[#This Row],[Observações]]="","Não","Sim")</f>
        <v>Não</v>
      </c>
      <c r="L316" s="119">
        <v>12</v>
      </c>
    </row>
    <row r="317" spans="1:12" ht="43.2" x14ac:dyDescent="0.3">
      <c r="A317" s="4" t="s">
        <v>579</v>
      </c>
      <c r="B317" s="4" t="s">
        <v>7</v>
      </c>
      <c r="C317" s="10" t="s">
        <v>410</v>
      </c>
      <c r="D317" s="10" t="s">
        <v>413</v>
      </c>
      <c r="E317" s="5" t="str">
        <f t="shared" si="4"/>
        <v>CE02</v>
      </c>
      <c r="F317" s="10" t="s">
        <v>414</v>
      </c>
      <c r="G317" s="95" t="s">
        <v>715</v>
      </c>
      <c r="H317" s="96" t="s">
        <v>18</v>
      </c>
      <c r="I317" s="97">
        <v>8</v>
      </c>
      <c r="J317" s="97"/>
      <c r="K317" s="121" t="str">
        <f>IF(consolidado[[#This Row],[Observações]]="","Não","Sim")</f>
        <v>Não</v>
      </c>
      <c r="L317" s="119">
        <v>12</v>
      </c>
    </row>
    <row r="318" spans="1:12" ht="26.4" x14ac:dyDescent="0.3">
      <c r="A318" s="4" t="s">
        <v>579</v>
      </c>
      <c r="B318" s="4" t="s">
        <v>7</v>
      </c>
      <c r="C318" s="10" t="s">
        <v>410</v>
      </c>
      <c r="D318" s="10" t="s">
        <v>413</v>
      </c>
      <c r="E318" s="5" t="str">
        <f t="shared" si="4"/>
        <v>CE02</v>
      </c>
      <c r="F318" s="10" t="s">
        <v>414</v>
      </c>
      <c r="G318" s="95" t="s">
        <v>716</v>
      </c>
      <c r="H318" s="96" t="s">
        <v>20</v>
      </c>
      <c r="I318" s="97">
        <v>10</v>
      </c>
      <c r="J318" s="97"/>
      <c r="K318" s="121" t="str">
        <f>IF(consolidado[[#This Row],[Observações]]="","Não","Sim")</f>
        <v>Não</v>
      </c>
      <c r="L318" s="119">
        <v>12</v>
      </c>
    </row>
    <row r="319" spans="1:12" ht="28.8" x14ac:dyDescent="0.3">
      <c r="A319" s="4" t="s">
        <v>579</v>
      </c>
      <c r="B319" s="4" t="s">
        <v>7</v>
      </c>
      <c r="C319" s="10" t="s">
        <v>415</v>
      </c>
      <c r="D319" s="10" t="s">
        <v>416</v>
      </c>
      <c r="E319" s="5" t="str">
        <f t="shared" si="4"/>
        <v>CE03</v>
      </c>
      <c r="F319" s="10" t="s">
        <v>417</v>
      </c>
      <c r="G319" s="95" t="s">
        <v>717</v>
      </c>
      <c r="H319" s="96" t="s">
        <v>12</v>
      </c>
      <c r="I319" s="97">
        <v>0</v>
      </c>
      <c r="J319" s="97"/>
      <c r="K319" s="121" t="str">
        <f>IF(consolidado[[#This Row],[Observações]]="","Não","Sim")</f>
        <v>Não</v>
      </c>
      <c r="L319" s="119">
        <v>15</v>
      </c>
    </row>
    <row r="320" spans="1:12" ht="43.2" x14ac:dyDescent="0.3">
      <c r="A320" s="4" t="s">
        <v>579</v>
      </c>
      <c r="B320" s="4" t="s">
        <v>7</v>
      </c>
      <c r="C320" s="10" t="s">
        <v>415</v>
      </c>
      <c r="D320" s="10" t="s">
        <v>416</v>
      </c>
      <c r="E320" s="5" t="str">
        <f t="shared" si="4"/>
        <v>CE03</v>
      </c>
      <c r="F320" s="10" t="s">
        <v>417</v>
      </c>
      <c r="G320" s="95" t="s">
        <v>718</v>
      </c>
      <c r="H320" s="106" t="s">
        <v>16</v>
      </c>
      <c r="I320" s="107">
        <v>0</v>
      </c>
      <c r="J320" s="107" t="s">
        <v>534</v>
      </c>
      <c r="K320" s="121" t="str">
        <f>IF(consolidado[[#This Row],[Observações]]="","Não","Sim")</f>
        <v>Sim</v>
      </c>
      <c r="L320" s="119">
        <v>15</v>
      </c>
    </row>
    <row r="321" spans="1:12" ht="43.2" x14ac:dyDescent="0.3">
      <c r="A321" s="4" t="s">
        <v>579</v>
      </c>
      <c r="B321" s="4" t="s">
        <v>7</v>
      </c>
      <c r="C321" s="10" t="s">
        <v>415</v>
      </c>
      <c r="D321" s="10" t="s">
        <v>416</v>
      </c>
      <c r="E321" s="5" t="str">
        <f t="shared" si="4"/>
        <v>CE03</v>
      </c>
      <c r="F321" s="10" t="s">
        <v>417</v>
      </c>
      <c r="G321" s="95" t="s">
        <v>719</v>
      </c>
      <c r="H321" s="96" t="s">
        <v>18</v>
      </c>
      <c r="I321" s="97">
        <v>8</v>
      </c>
      <c r="J321" s="97"/>
      <c r="K321" s="121" t="str">
        <f>IF(consolidado[[#This Row],[Observações]]="","Não","Sim")</f>
        <v>Não</v>
      </c>
      <c r="L321" s="119">
        <v>15</v>
      </c>
    </row>
    <row r="322" spans="1:12" ht="43.2" x14ac:dyDescent="0.3">
      <c r="A322" s="4" t="s">
        <v>579</v>
      </c>
      <c r="B322" s="4" t="s">
        <v>7</v>
      </c>
      <c r="C322" s="10" t="s">
        <v>415</v>
      </c>
      <c r="D322" s="10" t="s">
        <v>416</v>
      </c>
      <c r="E322" s="5" t="str">
        <f t="shared" si="4"/>
        <v>CE03</v>
      </c>
      <c r="F322" s="10" t="s">
        <v>417</v>
      </c>
      <c r="G322" s="95" t="s">
        <v>720</v>
      </c>
      <c r="H322" s="96" t="s">
        <v>20</v>
      </c>
      <c r="I322" s="97">
        <v>10</v>
      </c>
      <c r="J322" s="97"/>
      <c r="K322" s="121" t="str">
        <f>IF(consolidado[[#This Row],[Observações]]="","Não","Sim")</f>
        <v>Não</v>
      </c>
      <c r="L322" s="119">
        <v>15</v>
      </c>
    </row>
    <row r="323" spans="1:12" ht="28.8" x14ac:dyDescent="0.3">
      <c r="A323" s="4" t="s">
        <v>579</v>
      </c>
      <c r="B323" s="4" t="s">
        <v>7</v>
      </c>
      <c r="C323" s="10" t="s">
        <v>418</v>
      </c>
      <c r="D323" s="10" t="s">
        <v>419</v>
      </c>
      <c r="E323" s="5" t="str">
        <f t="shared" ref="E323:E386" si="5">SUBSTITUTE(D323," ","")</f>
        <v>CE04</v>
      </c>
      <c r="F323" s="10" t="s">
        <v>420</v>
      </c>
      <c r="G323" s="95" t="s">
        <v>721</v>
      </c>
      <c r="H323" s="96" t="s">
        <v>12</v>
      </c>
      <c r="I323" s="97">
        <v>0</v>
      </c>
      <c r="J323" s="97"/>
      <c r="K323" s="121" t="str">
        <f>IF(consolidado[[#This Row],[Observações]]="","Não","Sim")</f>
        <v>Não</v>
      </c>
      <c r="L323" s="119">
        <v>11</v>
      </c>
    </row>
    <row r="324" spans="1:12" ht="28.8" x14ac:dyDescent="0.3">
      <c r="A324" s="4" t="s">
        <v>579</v>
      </c>
      <c r="B324" s="4" t="s">
        <v>7</v>
      </c>
      <c r="C324" s="10" t="s">
        <v>418</v>
      </c>
      <c r="D324" s="10" t="s">
        <v>419</v>
      </c>
      <c r="E324" s="5" t="str">
        <f t="shared" si="5"/>
        <v>CE04</v>
      </c>
      <c r="F324" s="10" t="s">
        <v>420</v>
      </c>
      <c r="G324" s="95" t="s">
        <v>722</v>
      </c>
      <c r="H324" s="96" t="s">
        <v>18</v>
      </c>
      <c r="I324" s="97">
        <v>8</v>
      </c>
      <c r="J324" s="97"/>
      <c r="K324" s="121" t="str">
        <f>IF(consolidado[[#This Row],[Observações]]="","Não","Sim")</f>
        <v>Não</v>
      </c>
      <c r="L324" s="119">
        <v>11</v>
      </c>
    </row>
    <row r="325" spans="1:12" ht="28.8" x14ac:dyDescent="0.3">
      <c r="A325" s="4" t="s">
        <v>579</v>
      </c>
      <c r="B325" s="4" t="s">
        <v>7</v>
      </c>
      <c r="C325" s="10" t="s">
        <v>418</v>
      </c>
      <c r="D325" s="10" t="s">
        <v>419</v>
      </c>
      <c r="E325" s="5" t="str">
        <f t="shared" si="5"/>
        <v>CE04</v>
      </c>
      <c r="F325" s="10" t="s">
        <v>420</v>
      </c>
      <c r="G325" s="95" t="s">
        <v>723</v>
      </c>
      <c r="H325" s="96" t="s">
        <v>20</v>
      </c>
      <c r="I325" s="97">
        <v>10</v>
      </c>
      <c r="J325" s="97"/>
      <c r="K325" s="121" t="str">
        <f>IF(consolidado[[#This Row],[Observações]]="","Não","Sim")</f>
        <v>Não</v>
      </c>
      <c r="L325" s="119">
        <v>11</v>
      </c>
    </row>
    <row r="326" spans="1:12" ht="28.8" x14ac:dyDescent="0.3">
      <c r="A326" s="4" t="s">
        <v>579</v>
      </c>
      <c r="B326" s="4" t="s">
        <v>7</v>
      </c>
      <c r="C326" s="10" t="s">
        <v>421</v>
      </c>
      <c r="D326" s="10" t="s">
        <v>422</v>
      </c>
      <c r="E326" s="5" t="str">
        <f t="shared" si="5"/>
        <v>CE05</v>
      </c>
      <c r="F326" s="10" t="s">
        <v>725</v>
      </c>
      <c r="G326" s="95" t="s">
        <v>724</v>
      </c>
      <c r="H326" s="96" t="s">
        <v>12</v>
      </c>
      <c r="I326" s="97">
        <v>0</v>
      </c>
      <c r="J326" s="97"/>
      <c r="K326" s="121" t="str">
        <f>IF(consolidado[[#This Row],[Observações]]="","Não","Sim")</f>
        <v>Não</v>
      </c>
      <c r="L326" s="119">
        <v>11</v>
      </c>
    </row>
    <row r="327" spans="1:12" ht="28.8" x14ac:dyDescent="0.3">
      <c r="A327" s="4" t="s">
        <v>579</v>
      </c>
      <c r="B327" s="4" t="s">
        <v>7</v>
      </c>
      <c r="C327" s="10" t="s">
        <v>421</v>
      </c>
      <c r="D327" s="10" t="s">
        <v>422</v>
      </c>
      <c r="E327" s="5" t="str">
        <f t="shared" si="5"/>
        <v>CE05</v>
      </c>
      <c r="F327" s="10" t="s">
        <v>725</v>
      </c>
      <c r="G327" s="95" t="s">
        <v>726</v>
      </c>
      <c r="H327" s="96" t="s">
        <v>16</v>
      </c>
      <c r="I327" s="97">
        <v>6</v>
      </c>
      <c r="J327" s="97"/>
      <c r="K327" s="121" t="str">
        <f>IF(consolidado[[#This Row],[Observações]]="","Não","Sim")</f>
        <v>Não</v>
      </c>
      <c r="L327" s="119">
        <v>11</v>
      </c>
    </row>
    <row r="328" spans="1:12" ht="28.8" x14ac:dyDescent="0.3">
      <c r="A328" s="4" t="s">
        <v>579</v>
      </c>
      <c r="B328" s="4" t="s">
        <v>7</v>
      </c>
      <c r="C328" s="10" t="s">
        <v>421</v>
      </c>
      <c r="D328" s="10" t="s">
        <v>422</v>
      </c>
      <c r="E328" s="5" t="str">
        <f t="shared" si="5"/>
        <v>CE05</v>
      </c>
      <c r="F328" s="10" t="s">
        <v>725</v>
      </c>
      <c r="G328" s="95" t="s">
        <v>727</v>
      </c>
      <c r="H328" s="96" t="s">
        <v>18</v>
      </c>
      <c r="I328" s="97">
        <v>8</v>
      </c>
      <c r="J328" s="97"/>
      <c r="K328" s="121" t="str">
        <f>IF(consolidado[[#This Row],[Observações]]="","Não","Sim")</f>
        <v>Não</v>
      </c>
      <c r="L328" s="119">
        <v>11</v>
      </c>
    </row>
    <row r="329" spans="1:12" ht="28.8" x14ac:dyDescent="0.3">
      <c r="A329" s="4" t="s">
        <v>579</v>
      </c>
      <c r="B329" s="4" t="s">
        <v>7</v>
      </c>
      <c r="C329" s="10" t="s">
        <v>421</v>
      </c>
      <c r="D329" s="10" t="s">
        <v>422</v>
      </c>
      <c r="E329" s="5" t="str">
        <f t="shared" si="5"/>
        <v>CE05</v>
      </c>
      <c r="F329" s="10" t="s">
        <v>725</v>
      </c>
      <c r="G329" s="95" t="s">
        <v>728</v>
      </c>
      <c r="H329" s="96" t="s">
        <v>20</v>
      </c>
      <c r="I329" s="97">
        <v>10</v>
      </c>
      <c r="J329" s="97"/>
      <c r="K329" s="121" t="str">
        <f>IF(consolidado[[#This Row],[Observações]]="","Não","Sim")</f>
        <v>Não</v>
      </c>
      <c r="L329" s="119">
        <v>11</v>
      </c>
    </row>
    <row r="330" spans="1:12" ht="28.8" x14ac:dyDescent="0.3">
      <c r="A330" s="4" t="s">
        <v>579</v>
      </c>
      <c r="B330" s="4" t="s">
        <v>100</v>
      </c>
      <c r="C330" s="10" t="s">
        <v>423</v>
      </c>
      <c r="D330" s="10" t="s">
        <v>424</v>
      </c>
      <c r="E330" s="5" t="str">
        <f t="shared" si="5"/>
        <v>CS01</v>
      </c>
      <c r="F330" s="10" t="s">
        <v>425</v>
      </c>
      <c r="G330" s="95" t="s">
        <v>729</v>
      </c>
      <c r="H330" s="96" t="s">
        <v>12</v>
      </c>
      <c r="I330" s="97">
        <v>0</v>
      </c>
      <c r="J330" s="97"/>
      <c r="K330" s="121" t="str">
        <f>IF(consolidado[[#This Row],[Observações]]="","Não","Sim")</f>
        <v>Não</v>
      </c>
      <c r="L330" s="119">
        <v>11</v>
      </c>
    </row>
    <row r="331" spans="1:12" ht="28.8" x14ac:dyDescent="0.3">
      <c r="A331" s="4" t="s">
        <v>579</v>
      </c>
      <c r="B331" s="4" t="s">
        <v>100</v>
      </c>
      <c r="C331" s="10" t="s">
        <v>423</v>
      </c>
      <c r="D331" s="10" t="s">
        <v>424</v>
      </c>
      <c r="E331" s="5" t="str">
        <f t="shared" si="5"/>
        <v>CS01</v>
      </c>
      <c r="F331" s="10" t="s">
        <v>425</v>
      </c>
      <c r="G331" s="95" t="s">
        <v>730</v>
      </c>
      <c r="H331" s="96" t="s">
        <v>18</v>
      </c>
      <c r="I331" s="97">
        <v>8</v>
      </c>
      <c r="J331" s="97"/>
      <c r="K331" s="121" t="str">
        <f>IF(consolidado[[#This Row],[Observações]]="","Não","Sim")</f>
        <v>Não</v>
      </c>
      <c r="L331" s="119">
        <v>11</v>
      </c>
    </row>
    <row r="332" spans="1:12" ht="43.2" x14ac:dyDescent="0.3">
      <c r="A332" s="4" t="s">
        <v>579</v>
      </c>
      <c r="B332" s="4" t="s">
        <v>100</v>
      </c>
      <c r="C332" s="10" t="s">
        <v>423</v>
      </c>
      <c r="D332" s="10" t="s">
        <v>424</v>
      </c>
      <c r="E332" s="5" t="str">
        <f t="shared" si="5"/>
        <v>CS01</v>
      </c>
      <c r="F332" s="10" t="s">
        <v>425</v>
      </c>
      <c r="G332" s="95" t="s">
        <v>731</v>
      </c>
      <c r="H332" s="96" t="s">
        <v>20</v>
      </c>
      <c r="I332" s="97">
        <v>10</v>
      </c>
      <c r="J332" s="97"/>
      <c r="K332" s="121" t="str">
        <f>IF(consolidado[[#This Row],[Observações]]="","Não","Sim")</f>
        <v>Não</v>
      </c>
      <c r="L332" s="119">
        <v>11</v>
      </c>
    </row>
    <row r="333" spans="1:12" ht="43.2" x14ac:dyDescent="0.3">
      <c r="A333" s="4" t="s">
        <v>579</v>
      </c>
      <c r="B333" s="4" t="s">
        <v>100</v>
      </c>
      <c r="C333" s="10" t="s">
        <v>426</v>
      </c>
      <c r="D333" s="10" t="s">
        <v>427</v>
      </c>
      <c r="E333" s="5" t="str">
        <f t="shared" si="5"/>
        <v>CS02</v>
      </c>
      <c r="F333" s="10" t="s">
        <v>428</v>
      </c>
      <c r="G333" s="95" t="s">
        <v>732</v>
      </c>
      <c r="H333" s="96" t="s">
        <v>12</v>
      </c>
      <c r="I333" s="97">
        <v>0</v>
      </c>
      <c r="J333" s="97"/>
      <c r="K333" s="121" t="str">
        <f>IF(consolidado[[#This Row],[Observações]]="","Não","Sim")</f>
        <v>Não</v>
      </c>
      <c r="L333" s="119">
        <v>11</v>
      </c>
    </row>
    <row r="334" spans="1:12" ht="28.8" x14ac:dyDescent="0.3">
      <c r="A334" s="4" t="s">
        <v>579</v>
      </c>
      <c r="B334" s="4" t="s">
        <v>100</v>
      </c>
      <c r="C334" s="10" t="s">
        <v>426</v>
      </c>
      <c r="D334" s="10" t="s">
        <v>427</v>
      </c>
      <c r="E334" s="5" t="str">
        <f t="shared" si="5"/>
        <v>CS02</v>
      </c>
      <c r="F334" s="10" t="s">
        <v>428</v>
      </c>
      <c r="G334" s="95" t="s">
        <v>733</v>
      </c>
      <c r="H334" s="96" t="s">
        <v>16</v>
      </c>
      <c r="I334" s="97">
        <v>6</v>
      </c>
      <c r="J334" s="97"/>
      <c r="K334" s="121" t="str">
        <f>IF(consolidado[[#This Row],[Observações]]="","Não","Sim")</f>
        <v>Não</v>
      </c>
      <c r="L334" s="119">
        <v>11</v>
      </c>
    </row>
    <row r="335" spans="1:12" ht="43.2" x14ac:dyDescent="0.3">
      <c r="A335" s="4" t="s">
        <v>579</v>
      </c>
      <c r="B335" s="4" t="s">
        <v>100</v>
      </c>
      <c r="C335" s="10" t="s">
        <v>426</v>
      </c>
      <c r="D335" s="10" t="s">
        <v>427</v>
      </c>
      <c r="E335" s="5" t="str">
        <f t="shared" si="5"/>
        <v>CS02</v>
      </c>
      <c r="F335" s="10" t="s">
        <v>428</v>
      </c>
      <c r="G335" s="95" t="s">
        <v>734</v>
      </c>
      <c r="H335" s="96" t="s">
        <v>18</v>
      </c>
      <c r="I335" s="97">
        <v>8</v>
      </c>
      <c r="J335" s="97"/>
      <c r="K335" s="121" t="str">
        <f>IF(consolidado[[#This Row],[Observações]]="","Não","Sim")</f>
        <v>Não</v>
      </c>
      <c r="L335" s="119">
        <v>11</v>
      </c>
    </row>
    <row r="336" spans="1:12" ht="26.4" x14ac:dyDescent="0.3">
      <c r="A336" s="4" t="s">
        <v>579</v>
      </c>
      <c r="B336" s="4" t="s">
        <v>100</v>
      </c>
      <c r="C336" s="10" t="s">
        <v>426</v>
      </c>
      <c r="D336" s="10" t="s">
        <v>427</v>
      </c>
      <c r="E336" s="5" t="str">
        <f t="shared" si="5"/>
        <v>CS02</v>
      </c>
      <c r="F336" s="10" t="s">
        <v>428</v>
      </c>
      <c r="G336" s="95" t="s">
        <v>735</v>
      </c>
      <c r="H336" s="96" t="s">
        <v>20</v>
      </c>
      <c r="I336" s="97">
        <v>10</v>
      </c>
      <c r="J336" s="97"/>
      <c r="K336" s="121" t="str">
        <f>IF(consolidado[[#This Row],[Observações]]="","Não","Sim")</f>
        <v>Não</v>
      </c>
      <c r="L336" s="119">
        <v>11</v>
      </c>
    </row>
    <row r="337" spans="1:12" ht="26.4" x14ac:dyDescent="0.3">
      <c r="A337" s="4" t="s">
        <v>579</v>
      </c>
      <c r="B337" s="4" t="s">
        <v>100</v>
      </c>
      <c r="C337" s="10" t="s">
        <v>429</v>
      </c>
      <c r="D337" s="10" t="s">
        <v>430</v>
      </c>
      <c r="E337" s="5" t="str">
        <f t="shared" si="5"/>
        <v>CS03</v>
      </c>
      <c r="F337" s="10" t="s">
        <v>431</v>
      </c>
      <c r="G337" s="95" t="s">
        <v>736</v>
      </c>
      <c r="H337" s="96" t="s">
        <v>12</v>
      </c>
      <c r="I337" s="97">
        <v>0</v>
      </c>
      <c r="J337" s="97"/>
      <c r="K337" s="121" t="str">
        <f>IF(consolidado[[#This Row],[Observações]]="","Não","Sim")</f>
        <v>Não</v>
      </c>
      <c r="L337" s="119">
        <v>8</v>
      </c>
    </row>
    <row r="338" spans="1:12" ht="26.4" x14ac:dyDescent="0.3">
      <c r="A338" s="4" t="s">
        <v>579</v>
      </c>
      <c r="B338" s="4" t="s">
        <v>100</v>
      </c>
      <c r="C338" s="10" t="s">
        <v>429</v>
      </c>
      <c r="D338" s="10" t="s">
        <v>430</v>
      </c>
      <c r="E338" s="5" t="str">
        <f t="shared" si="5"/>
        <v>CS03</v>
      </c>
      <c r="F338" s="10" t="s">
        <v>431</v>
      </c>
      <c r="G338" s="95" t="s">
        <v>737</v>
      </c>
      <c r="H338" s="106" t="s">
        <v>18</v>
      </c>
      <c r="I338" s="107">
        <v>0</v>
      </c>
      <c r="J338" s="107" t="s">
        <v>534</v>
      </c>
      <c r="K338" s="121" t="str">
        <f>IF(consolidado[[#This Row],[Observações]]="","Não","Sim")</f>
        <v>Sim</v>
      </c>
      <c r="L338" s="119">
        <v>8</v>
      </c>
    </row>
    <row r="339" spans="1:12" ht="26.4" x14ac:dyDescent="0.3">
      <c r="A339" s="4" t="s">
        <v>579</v>
      </c>
      <c r="B339" s="4" t="s">
        <v>100</v>
      </c>
      <c r="C339" s="10" t="s">
        <v>429</v>
      </c>
      <c r="D339" s="10" t="s">
        <v>430</v>
      </c>
      <c r="E339" s="5" t="str">
        <f t="shared" si="5"/>
        <v>CS03</v>
      </c>
      <c r="F339" s="10" t="s">
        <v>431</v>
      </c>
      <c r="G339" s="95" t="s">
        <v>738</v>
      </c>
      <c r="H339" s="96" t="s">
        <v>20</v>
      </c>
      <c r="I339" s="97">
        <v>10</v>
      </c>
      <c r="J339" s="97"/>
      <c r="K339" s="121" t="str">
        <f>IF(consolidado[[#This Row],[Observações]]="","Não","Sim")</f>
        <v>Não</v>
      </c>
      <c r="L339" s="119">
        <v>8</v>
      </c>
    </row>
    <row r="340" spans="1:12" ht="28.8" x14ac:dyDescent="0.3">
      <c r="A340" s="4" t="s">
        <v>579</v>
      </c>
      <c r="B340" s="4" t="s">
        <v>239</v>
      </c>
      <c r="C340" s="10" t="s">
        <v>432</v>
      </c>
      <c r="D340" s="10" t="s">
        <v>433</v>
      </c>
      <c r="E340" s="5" t="str">
        <f t="shared" si="5"/>
        <v>CG01</v>
      </c>
      <c r="F340" s="10" t="s">
        <v>434</v>
      </c>
      <c r="G340" s="95" t="s">
        <v>739</v>
      </c>
      <c r="H340" s="96" t="s">
        <v>12</v>
      </c>
      <c r="I340" s="97">
        <v>0</v>
      </c>
      <c r="J340" s="97"/>
      <c r="K340" s="121" t="str">
        <f>IF(consolidado[[#This Row],[Observações]]="","Não","Sim")</f>
        <v>Não</v>
      </c>
      <c r="L340" s="119">
        <v>11</v>
      </c>
    </row>
    <row r="341" spans="1:12" ht="28.8" x14ac:dyDescent="0.3">
      <c r="A341" s="4" t="s">
        <v>579</v>
      </c>
      <c r="B341" s="4" t="s">
        <v>239</v>
      </c>
      <c r="C341" s="10" t="s">
        <v>432</v>
      </c>
      <c r="D341" s="10" t="s">
        <v>433</v>
      </c>
      <c r="E341" s="5" t="str">
        <f t="shared" si="5"/>
        <v>CG01</v>
      </c>
      <c r="F341" s="10" t="s">
        <v>434</v>
      </c>
      <c r="G341" s="95" t="s">
        <v>740</v>
      </c>
      <c r="H341" s="96" t="s">
        <v>18</v>
      </c>
      <c r="I341" s="97">
        <v>8</v>
      </c>
      <c r="J341" s="97"/>
      <c r="K341" s="121" t="str">
        <f>IF(consolidado[[#This Row],[Observações]]="","Não","Sim")</f>
        <v>Não</v>
      </c>
      <c r="L341" s="119">
        <v>11</v>
      </c>
    </row>
    <row r="342" spans="1:12" ht="28.8" x14ac:dyDescent="0.3">
      <c r="A342" s="4" t="s">
        <v>579</v>
      </c>
      <c r="B342" s="4" t="s">
        <v>239</v>
      </c>
      <c r="C342" s="10" t="s">
        <v>432</v>
      </c>
      <c r="D342" s="10" t="s">
        <v>433</v>
      </c>
      <c r="E342" s="5" t="str">
        <f t="shared" si="5"/>
        <v>CG01</v>
      </c>
      <c r="F342" s="10" t="s">
        <v>434</v>
      </c>
      <c r="G342" s="95" t="s">
        <v>741</v>
      </c>
      <c r="H342" s="96" t="s">
        <v>20</v>
      </c>
      <c r="I342" s="97">
        <v>10</v>
      </c>
      <c r="J342" s="97"/>
      <c r="K342" s="121" t="str">
        <f>IF(consolidado[[#This Row],[Observações]]="","Não","Sim")</f>
        <v>Não</v>
      </c>
      <c r="L342" s="119">
        <v>11</v>
      </c>
    </row>
    <row r="343" spans="1:12" ht="28.8" x14ac:dyDescent="0.3">
      <c r="A343" s="4" t="s">
        <v>579</v>
      </c>
      <c r="B343" s="4" t="s">
        <v>239</v>
      </c>
      <c r="C343" s="10" t="s">
        <v>435</v>
      </c>
      <c r="D343" s="10" t="s">
        <v>436</v>
      </c>
      <c r="E343" s="5" t="str">
        <f t="shared" si="5"/>
        <v>CG02</v>
      </c>
      <c r="F343" s="10" t="s">
        <v>437</v>
      </c>
      <c r="G343" s="95" t="s">
        <v>742</v>
      </c>
      <c r="H343" s="96" t="s">
        <v>12</v>
      </c>
      <c r="I343" s="97">
        <v>0</v>
      </c>
      <c r="J343" s="97"/>
      <c r="K343" s="121" t="str">
        <f>IF(consolidado[[#This Row],[Observações]]="","Não","Sim")</f>
        <v>Não</v>
      </c>
      <c r="L343" s="119">
        <v>11</v>
      </c>
    </row>
    <row r="344" spans="1:12" ht="28.8" x14ac:dyDescent="0.3">
      <c r="A344" s="4" t="s">
        <v>579</v>
      </c>
      <c r="B344" s="4" t="s">
        <v>239</v>
      </c>
      <c r="C344" s="10" t="s">
        <v>435</v>
      </c>
      <c r="D344" s="10" t="s">
        <v>436</v>
      </c>
      <c r="E344" s="5" t="str">
        <f t="shared" si="5"/>
        <v>CG02</v>
      </c>
      <c r="F344" s="10" t="s">
        <v>437</v>
      </c>
      <c r="G344" s="95" t="s">
        <v>743</v>
      </c>
      <c r="H344" s="96" t="s">
        <v>18</v>
      </c>
      <c r="I344" s="97">
        <v>8</v>
      </c>
      <c r="J344" s="97"/>
      <c r="K344" s="121" t="str">
        <f>IF(consolidado[[#This Row],[Observações]]="","Não","Sim")</f>
        <v>Não</v>
      </c>
      <c r="L344" s="119">
        <v>11</v>
      </c>
    </row>
    <row r="345" spans="1:12" ht="28.8" x14ac:dyDescent="0.3">
      <c r="A345" s="4" t="s">
        <v>579</v>
      </c>
      <c r="B345" s="4" t="s">
        <v>239</v>
      </c>
      <c r="C345" s="10" t="s">
        <v>435</v>
      </c>
      <c r="D345" s="10" t="s">
        <v>436</v>
      </c>
      <c r="E345" s="5" t="str">
        <f t="shared" si="5"/>
        <v>CG02</v>
      </c>
      <c r="F345" s="10" t="s">
        <v>437</v>
      </c>
      <c r="G345" s="95" t="s">
        <v>744</v>
      </c>
      <c r="H345" s="96" t="s">
        <v>20</v>
      </c>
      <c r="I345" s="97">
        <v>10</v>
      </c>
      <c r="J345" s="97"/>
      <c r="K345" s="121" t="str">
        <f>IF(consolidado[[#This Row],[Observações]]="","Não","Sim")</f>
        <v>Não</v>
      </c>
      <c r="L345" s="119">
        <v>11</v>
      </c>
    </row>
    <row r="346" spans="1:12" ht="28.8" x14ac:dyDescent="0.3">
      <c r="A346" s="4" t="s">
        <v>580</v>
      </c>
      <c r="B346" s="4" t="s">
        <v>7</v>
      </c>
      <c r="C346" s="5" t="s">
        <v>438</v>
      </c>
      <c r="D346" s="5" t="s">
        <v>439</v>
      </c>
      <c r="E346" s="5" t="str">
        <f t="shared" si="5"/>
        <v>DE01</v>
      </c>
      <c r="F346" s="5" t="s">
        <v>440</v>
      </c>
      <c r="G346" s="95" t="s">
        <v>745</v>
      </c>
      <c r="H346" s="96" t="s">
        <v>12</v>
      </c>
      <c r="I346" s="97">
        <v>0</v>
      </c>
      <c r="J346" s="97"/>
      <c r="K346" s="121" t="str">
        <f>IF(consolidado[[#This Row],[Observações]]="","Não","Sim")</f>
        <v>Não</v>
      </c>
      <c r="L346" s="119">
        <v>7</v>
      </c>
    </row>
    <row r="347" spans="1:12" ht="28.8" x14ac:dyDescent="0.3">
      <c r="A347" s="4" t="s">
        <v>580</v>
      </c>
      <c r="B347" s="4" t="s">
        <v>7</v>
      </c>
      <c r="C347" s="5" t="s">
        <v>438</v>
      </c>
      <c r="D347" s="5" t="s">
        <v>439</v>
      </c>
      <c r="E347" s="5" t="str">
        <f t="shared" si="5"/>
        <v>DE01</v>
      </c>
      <c r="F347" s="5" t="s">
        <v>440</v>
      </c>
      <c r="G347" s="95" t="s">
        <v>746</v>
      </c>
      <c r="H347" s="96" t="s">
        <v>14</v>
      </c>
      <c r="I347" s="97">
        <v>4</v>
      </c>
      <c r="J347" s="97"/>
      <c r="K347" s="121" t="str">
        <f>IF(consolidado[[#This Row],[Observações]]="","Não","Sim")</f>
        <v>Não</v>
      </c>
      <c r="L347" s="119">
        <v>7</v>
      </c>
    </row>
    <row r="348" spans="1:12" ht="43.2" x14ac:dyDescent="0.3">
      <c r="A348" s="4" t="s">
        <v>580</v>
      </c>
      <c r="B348" s="4" t="s">
        <v>7</v>
      </c>
      <c r="C348" s="5" t="s">
        <v>438</v>
      </c>
      <c r="D348" s="5" t="s">
        <v>439</v>
      </c>
      <c r="E348" s="5" t="str">
        <f t="shared" si="5"/>
        <v>DE01</v>
      </c>
      <c r="F348" s="5" t="s">
        <v>440</v>
      </c>
      <c r="G348" s="95" t="s">
        <v>747</v>
      </c>
      <c r="H348" s="96" t="s">
        <v>16</v>
      </c>
      <c r="I348" s="97">
        <v>6</v>
      </c>
      <c r="J348" s="97"/>
      <c r="K348" s="121" t="str">
        <f>IF(consolidado[[#This Row],[Observações]]="","Não","Sim")</f>
        <v>Não</v>
      </c>
      <c r="L348" s="119">
        <v>7</v>
      </c>
    </row>
    <row r="349" spans="1:12" ht="43.2" x14ac:dyDescent="0.3">
      <c r="A349" s="4" t="s">
        <v>580</v>
      </c>
      <c r="B349" s="4" t="s">
        <v>7</v>
      </c>
      <c r="C349" s="5" t="s">
        <v>438</v>
      </c>
      <c r="D349" s="5" t="s">
        <v>439</v>
      </c>
      <c r="E349" s="5" t="str">
        <f t="shared" si="5"/>
        <v>DE01</v>
      </c>
      <c r="F349" s="5" t="s">
        <v>440</v>
      </c>
      <c r="G349" s="95" t="s">
        <v>748</v>
      </c>
      <c r="H349" s="96" t="s">
        <v>18</v>
      </c>
      <c r="I349" s="97">
        <v>8</v>
      </c>
      <c r="J349" s="97"/>
      <c r="K349" s="121" t="str">
        <f>IF(consolidado[[#This Row],[Observações]]="","Não","Sim")</f>
        <v>Não</v>
      </c>
      <c r="L349" s="119">
        <v>7</v>
      </c>
    </row>
    <row r="350" spans="1:12" ht="28.8" x14ac:dyDescent="0.3">
      <c r="A350" s="4" t="s">
        <v>580</v>
      </c>
      <c r="B350" s="4" t="s">
        <v>7</v>
      </c>
      <c r="C350" s="5" t="s">
        <v>438</v>
      </c>
      <c r="D350" s="5" t="s">
        <v>439</v>
      </c>
      <c r="E350" s="5" t="str">
        <f t="shared" si="5"/>
        <v>DE01</v>
      </c>
      <c r="F350" s="5" t="s">
        <v>440</v>
      </c>
      <c r="G350" s="95" t="s">
        <v>749</v>
      </c>
      <c r="H350" s="96" t="s">
        <v>20</v>
      </c>
      <c r="I350" s="97">
        <v>10</v>
      </c>
      <c r="J350" s="97"/>
      <c r="K350" s="121" t="str">
        <f>IF(consolidado[[#This Row],[Observações]]="","Não","Sim")</f>
        <v>Não</v>
      </c>
      <c r="L350" s="119">
        <v>7</v>
      </c>
    </row>
    <row r="351" spans="1:12" ht="28.8" x14ac:dyDescent="0.3">
      <c r="A351" s="4" t="s">
        <v>580</v>
      </c>
      <c r="B351" s="4" t="s">
        <v>7</v>
      </c>
      <c r="C351" s="5" t="s">
        <v>438</v>
      </c>
      <c r="D351" s="5" t="s">
        <v>441</v>
      </c>
      <c r="E351" s="5" t="str">
        <f t="shared" si="5"/>
        <v>DE02</v>
      </c>
      <c r="F351" s="5" t="s">
        <v>442</v>
      </c>
      <c r="G351" s="95" t="s">
        <v>750</v>
      </c>
      <c r="H351" s="96" t="s">
        <v>12</v>
      </c>
      <c r="I351" s="97">
        <v>0</v>
      </c>
      <c r="J351" s="97"/>
      <c r="K351" s="121" t="str">
        <f>IF(consolidado[[#This Row],[Observações]]="","Não","Sim")</f>
        <v>Não</v>
      </c>
      <c r="L351" s="119">
        <v>13</v>
      </c>
    </row>
    <row r="352" spans="1:12" ht="28.8" x14ac:dyDescent="0.3">
      <c r="A352" s="4" t="s">
        <v>580</v>
      </c>
      <c r="B352" s="4" t="s">
        <v>7</v>
      </c>
      <c r="C352" s="5" t="s">
        <v>438</v>
      </c>
      <c r="D352" s="5" t="s">
        <v>441</v>
      </c>
      <c r="E352" s="5" t="str">
        <f t="shared" si="5"/>
        <v>DE02</v>
      </c>
      <c r="F352" s="5" t="s">
        <v>442</v>
      </c>
      <c r="G352" s="95" t="s">
        <v>751</v>
      </c>
      <c r="H352" s="96" t="s">
        <v>14</v>
      </c>
      <c r="I352" s="97">
        <v>4</v>
      </c>
      <c r="J352" s="97"/>
      <c r="K352" s="121" t="str">
        <f>IF(consolidado[[#This Row],[Observações]]="","Não","Sim")</f>
        <v>Não</v>
      </c>
      <c r="L352" s="119">
        <v>13</v>
      </c>
    </row>
    <row r="353" spans="1:12" ht="43.2" x14ac:dyDescent="0.3">
      <c r="A353" s="4" t="s">
        <v>580</v>
      </c>
      <c r="B353" s="4" t="s">
        <v>7</v>
      </c>
      <c r="C353" s="5" t="s">
        <v>438</v>
      </c>
      <c r="D353" s="5" t="s">
        <v>441</v>
      </c>
      <c r="E353" s="5" t="str">
        <f t="shared" si="5"/>
        <v>DE02</v>
      </c>
      <c r="F353" s="5" t="s">
        <v>442</v>
      </c>
      <c r="G353" s="95" t="s">
        <v>747</v>
      </c>
      <c r="H353" s="96" t="s">
        <v>16</v>
      </c>
      <c r="I353" s="97">
        <v>6</v>
      </c>
      <c r="J353" s="97"/>
      <c r="K353" s="121" t="str">
        <f>IF(consolidado[[#This Row],[Observações]]="","Não","Sim")</f>
        <v>Não</v>
      </c>
      <c r="L353" s="119">
        <v>13</v>
      </c>
    </row>
    <row r="354" spans="1:12" ht="43.2" x14ac:dyDescent="0.3">
      <c r="A354" s="4" t="s">
        <v>580</v>
      </c>
      <c r="B354" s="4" t="s">
        <v>7</v>
      </c>
      <c r="C354" s="5" t="s">
        <v>438</v>
      </c>
      <c r="D354" s="5" t="s">
        <v>441</v>
      </c>
      <c r="E354" s="5" t="str">
        <f t="shared" si="5"/>
        <v>DE02</v>
      </c>
      <c r="F354" s="5" t="s">
        <v>442</v>
      </c>
      <c r="G354" s="95" t="s">
        <v>752</v>
      </c>
      <c r="H354" s="96" t="s">
        <v>18</v>
      </c>
      <c r="I354" s="97">
        <v>8</v>
      </c>
      <c r="J354" s="97"/>
      <c r="K354" s="121" t="str">
        <f>IF(consolidado[[#This Row],[Observações]]="","Não","Sim")</f>
        <v>Não</v>
      </c>
      <c r="L354" s="119">
        <v>13</v>
      </c>
    </row>
    <row r="355" spans="1:12" ht="28.8" x14ac:dyDescent="0.3">
      <c r="A355" s="4" t="s">
        <v>580</v>
      </c>
      <c r="B355" s="4" t="s">
        <v>7</v>
      </c>
      <c r="C355" s="5" t="s">
        <v>438</v>
      </c>
      <c r="D355" s="5" t="s">
        <v>441</v>
      </c>
      <c r="E355" s="5" t="str">
        <f t="shared" si="5"/>
        <v>DE02</v>
      </c>
      <c r="F355" s="5" t="s">
        <v>442</v>
      </c>
      <c r="G355" s="95" t="s">
        <v>753</v>
      </c>
      <c r="H355" s="96" t="s">
        <v>20</v>
      </c>
      <c r="I355" s="97">
        <v>10</v>
      </c>
      <c r="J355" s="97"/>
      <c r="K355" s="121" t="str">
        <f>IF(consolidado[[#This Row],[Observações]]="","Não","Sim")</f>
        <v>Não</v>
      </c>
      <c r="L355" s="119">
        <v>13</v>
      </c>
    </row>
    <row r="356" spans="1:12" ht="43.2" x14ac:dyDescent="0.3">
      <c r="A356" s="4" t="s">
        <v>580</v>
      </c>
      <c r="B356" s="4" t="s">
        <v>7</v>
      </c>
      <c r="C356" s="5" t="s">
        <v>443</v>
      </c>
      <c r="D356" s="5" t="s">
        <v>444</v>
      </c>
      <c r="E356" s="5" t="str">
        <f t="shared" si="5"/>
        <v>DE03</v>
      </c>
      <c r="F356" s="5" t="s">
        <v>381</v>
      </c>
      <c r="G356" s="95" t="s">
        <v>754</v>
      </c>
      <c r="H356" s="96" t="s">
        <v>12</v>
      </c>
      <c r="I356" s="97">
        <v>0</v>
      </c>
      <c r="J356" s="97"/>
      <c r="K356" s="121" t="str">
        <f>IF(consolidado[[#This Row],[Observações]]="","Não","Sim")</f>
        <v>Não</v>
      </c>
      <c r="L356" s="119">
        <v>15</v>
      </c>
    </row>
    <row r="357" spans="1:12" ht="43.2" x14ac:dyDescent="0.3">
      <c r="A357" s="4" t="s">
        <v>580</v>
      </c>
      <c r="B357" s="4" t="s">
        <v>7</v>
      </c>
      <c r="C357" s="5" t="s">
        <v>443</v>
      </c>
      <c r="D357" s="5" t="s">
        <v>444</v>
      </c>
      <c r="E357" s="5" t="str">
        <f t="shared" si="5"/>
        <v>DE03</v>
      </c>
      <c r="F357" s="5" t="s">
        <v>381</v>
      </c>
      <c r="G357" s="95" t="s">
        <v>755</v>
      </c>
      <c r="H357" s="96" t="s">
        <v>16</v>
      </c>
      <c r="I357" s="97">
        <v>6</v>
      </c>
      <c r="J357" s="97"/>
      <c r="K357" s="121" t="str">
        <f>IF(consolidado[[#This Row],[Observações]]="","Não","Sim")</f>
        <v>Não</v>
      </c>
      <c r="L357" s="119">
        <v>15</v>
      </c>
    </row>
    <row r="358" spans="1:12" ht="43.2" x14ac:dyDescent="0.3">
      <c r="A358" s="4" t="s">
        <v>580</v>
      </c>
      <c r="B358" s="4" t="s">
        <v>7</v>
      </c>
      <c r="C358" s="5" t="s">
        <v>443</v>
      </c>
      <c r="D358" s="5" t="s">
        <v>444</v>
      </c>
      <c r="E358" s="5" t="str">
        <f t="shared" si="5"/>
        <v>DE03</v>
      </c>
      <c r="F358" s="5" t="s">
        <v>381</v>
      </c>
      <c r="G358" s="95" t="s">
        <v>756</v>
      </c>
      <c r="H358" s="96" t="s">
        <v>18</v>
      </c>
      <c r="I358" s="97">
        <v>8</v>
      </c>
      <c r="J358" s="97"/>
      <c r="K358" s="121" t="str">
        <f>IF(consolidado[[#This Row],[Observações]]="","Não","Sim")</f>
        <v>Não</v>
      </c>
      <c r="L358" s="119">
        <v>15</v>
      </c>
    </row>
    <row r="359" spans="1:12" ht="43.2" x14ac:dyDescent="0.3">
      <c r="A359" s="4" t="s">
        <v>580</v>
      </c>
      <c r="B359" s="4" t="s">
        <v>7</v>
      </c>
      <c r="C359" s="5" t="s">
        <v>443</v>
      </c>
      <c r="D359" s="5" t="s">
        <v>444</v>
      </c>
      <c r="E359" s="5" t="str">
        <f t="shared" si="5"/>
        <v>DE03</v>
      </c>
      <c r="F359" s="5" t="s">
        <v>381</v>
      </c>
      <c r="G359" s="95" t="s">
        <v>757</v>
      </c>
      <c r="H359" s="96" t="s">
        <v>20</v>
      </c>
      <c r="I359" s="97">
        <v>10</v>
      </c>
      <c r="J359" s="97"/>
      <c r="K359" s="121" t="str">
        <f>IF(consolidado[[#This Row],[Observações]]="","Não","Sim")</f>
        <v>Não</v>
      </c>
      <c r="L359" s="119">
        <v>15</v>
      </c>
    </row>
    <row r="360" spans="1:12" ht="43.2" x14ac:dyDescent="0.3">
      <c r="A360" s="4" t="s">
        <v>580</v>
      </c>
      <c r="B360" s="4" t="s">
        <v>7</v>
      </c>
      <c r="C360" s="5" t="s">
        <v>443</v>
      </c>
      <c r="D360" s="5" t="s">
        <v>445</v>
      </c>
      <c r="E360" s="5" t="str">
        <f t="shared" si="5"/>
        <v>DE04</v>
      </c>
      <c r="F360" s="5" t="s">
        <v>446</v>
      </c>
      <c r="G360" s="95" t="s">
        <v>758</v>
      </c>
      <c r="H360" s="96" t="s">
        <v>12</v>
      </c>
      <c r="I360" s="97">
        <v>0</v>
      </c>
      <c r="J360" s="97"/>
      <c r="K360" s="121" t="str">
        <f>IF(consolidado[[#This Row],[Observações]]="","Não","Sim")</f>
        <v>Não</v>
      </c>
      <c r="L360" s="119">
        <v>12</v>
      </c>
    </row>
    <row r="361" spans="1:12" ht="57.6" x14ac:dyDescent="0.3">
      <c r="A361" s="4" t="s">
        <v>580</v>
      </c>
      <c r="B361" s="4" t="s">
        <v>7</v>
      </c>
      <c r="C361" s="5" t="s">
        <v>443</v>
      </c>
      <c r="D361" s="5" t="s">
        <v>445</v>
      </c>
      <c r="E361" s="5" t="str">
        <f t="shared" si="5"/>
        <v>DE04</v>
      </c>
      <c r="F361" s="5" t="s">
        <v>446</v>
      </c>
      <c r="G361" s="95" t="s">
        <v>759</v>
      </c>
      <c r="H361" s="96" t="s">
        <v>16</v>
      </c>
      <c r="I361" s="97">
        <v>6</v>
      </c>
      <c r="J361" s="97"/>
      <c r="K361" s="121" t="str">
        <f>IF(consolidado[[#This Row],[Observações]]="","Não","Sim")</f>
        <v>Não</v>
      </c>
      <c r="L361" s="119">
        <v>12</v>
      </c>
    </row>
    <row r="362" spans="1:12" ht="57.6" x14ac:dyDescent="0.3">
      <c r="A362" s="4" t="s">
        <v>580</v>
      </c>
      <c r="B362" s="4" t="s">
        <v>7</v>
      </c>
      <c r="C362" s="5" t="s">
        <v>443</v>
      </c>
      <c r="D362" s="5" t="s">
        <v>445</v>
      </c>
      <c r="E362" s="5" t="str">
        <f t="shared" si="5"/>
        <v>DE04</v>
      </c>
      <c r="F362" s="5" t="s">
        <v>446</v>
      </c>
      <c r="G362" s="95" t="s">
        <v>760</v>
      </c>
      <c r="H362" s="96" t="s">
        <v>18</v>
      </c>
      <c r="I362" s="97">
        <v>8</v>
      </c>
      <c r="J362" s="97"/>
      <c r="K362" s="121" t="str">
        <f>IF(consolidado[[#This Row],[Observações]]="","Não","Sim")</f>
        <v>Não</v>
      </c>
      <c r="L362" s="119">
        <v>12</v>
      </c>
    </row>
    <row r="363" spans="1:12" ht="28.8" x14ac:dyDescent="0.3">
      <c r="A363" s="4" t="s">
        <v>580</v>
      </c>
      <c r="B363" s="4" t="s">
        <v>7</v>
      </c>
      <c r="C363" s="5" t="s">
        <v>443</v>
      </c>
      <c r="D363" s="5" t="s">
        <v>445</v>
      </c>
      <c r="E363" s="5" t="str">
        <f t="shared" si="5"/>
        <v>DE04</v>
      </c>
      <c r="F363" s="5" t="s">
        <v>446</v>
      </c>
      <c r="G363" s="95" t="s">
        <v>761</v>
      </c>
      <c r="H363" s="96" t="s">
        <v>20</v>
      </c>
      <c r="I363" s="97">
        <v>10</v>
      </c>
      <c r="J363" s="97"/>
      <c r="K363" s="121" t="str">
        <f>IF(consolidado[[#This Row],[Observações]]="","Não","Sim")</f>
        <v>Não</v>
      </c>
      <c r="L363" s="119">
        <v>12</v>
      </c>
    </row>
    <row r="364" spans="1:12" ht="26.4" x14ac:dyDescent="0.3">
      <c r="A364" s="4" t="s">
        <v>580</v>
      </c>
      <c r="B364" s="4" t="s">
        <v>7</v>
      </c>
      <c r="C364" s="5" t="s">
        <v>443</v>
      </c>
      <c r="D364" s="5" t="s">
        <v>447</v>
      </c>
      <c r="E364" s="5" t="str">
        <f t="shared" si="5"/>
        <v>DE05</v>
      </c>
      <c r="F364" s="5" t="s">
        <v>448</v>
      </c>
      <c r="G364" s="95" t="s">
        <v>762</v>
      </c>
      <c r="H364" s="96" t="s">
        <v>12</v>
      </c>
      <c r="I364" s="97">
        <v>0</v>
      </c>
      <c r="J364" s="97"/>
      <c r="K364" s="121" t="str">
        <f>IF(consolidado[[#This Row],[Observações]]="","Não","Sim")</f>
        <v>Não</v>
      </c>
      <c r="L364" s="119">
        <v>12</v>
      </c>
    </row>
    <row r="365" spans="1:12" ht="26.4" x14ac:dyDescent="0.3">
      <c r="A365" s="4" t="s">
        <v>580</v>
      </c>
      <c r="B365" s="4" t="s">
        <v>7</v>
      </c>
      <c r="C365" s="5" t="s">
        <v>443</v>
      </c>
      <c r="D365" s="5" t="s">
        <v>447</v>
      </c>
      <c r="E365" s="5" t="str">
        <f t="shared" si="5"/>
        <v>DE05</v>
      </c>
      <c r="F365" s="5" t="s">
        <v>448</v>
      </c>
      <c r="G365" s="95" t="s">
        <v>542</v>
      </c>
      <c r="H365" s="96" t="s">
        <v>14</v>
      </c>
      <c r="I365" s="97">
        <v>4</v>
      </c>
      <c r="J365" s="97"/>
      <c r="K365" s="121" t="str">
        <f>IF(consolidado[[#This Row],[Observações]]="","Não","Sim")</f>
        <v>Não</v>
      </c>
      <c r="L365" s="119">
        <v>12</v>
      </c>
    </row>
    <row r="366" spans="1:12" ht="28.8" x14ac:dyDescent="0.3">
      <c r="A366" s="4" t="s">
        <v>580</v>
      </c>
      <c r="B366" s="4" t="s">
        <v>7</v>
      </c>
      <c r="C366" s="5" t="s">
        <v>443</v>
      </c>
      <c r="D366" s="5" t="s">
        <v>447</v>
      </c>
      <c r="E366" s="5" t="str">
        <f t="shared" si="5"/>
        <v>DE05</v>
      </c>
      <c r="F366" s="5" t="s">
        <v>448</v>
      </c>
      <c r="G366" s="95" t="s">
        <v>763</v>
      </c>
      <c r="H366" s="96" t="s">
        <v>16</v>
      </c>
      <c r="I366" s="97">
        <v>6</v>
      </c>
      <c r="J366" s="97"/>
      <c r="K366" s="121" t="str">
        <f>IF(consolidado[[#This Row],[Observações]]="","Não","Sim")</f>
        <v>Não</v>
      </c>
      <c r="L366" s="119">
        <v>12</v>
      </c>
    </row>
    <row r="367" spans="1:12" ht="28.8" x14ac:dyDescent="0.3">
      <c r="A367" s="4" t="s">
        <v>580</v>
      </c>
      <c r="B367" s="4" t="s">
        <v>7</v>
      </c>
      <c r="C367" s="5" t="s">
        <v>443</v>
      </c>
      <c r="D367" s="5" t="s">
        <v>447</v>
      </c>
      <c r="E367" s="5" t="str">
        <f t="shared" si="5"/>
        <v>DE05</v>
      </c>
      <c r="F367" s="5" t="s">
        <v>448</v>
      </c>
      <c r="G367" s="95" t="s">
        <v>544</v>
      </c>
      <c r="H367" s="96" t="s">
        <v>18</v>
      </c>
      <c r="I367" s="97">
        <v>8</v>
      </c>
      <c r="J367" s="97"/>
      <c r="K367" s="121" t="str">
        <f>IF(consolidado[[#This Row],[Observações]]="","Não","Sim")</f>
        <v>Não</v>
      </c>
      <c r="L367" s="119">
        <v>12</v>
      </c>
    </row>
    <row r="368" spans="1:12" ht="28.8" x14ac:dyDescent="0.3">
      <c r="A368" s="4" t="s">
        <v>580</v>
      </c>
      <c r="B368" s="4" t="s">
        <v>7</v>
      </c>
      <c r="C368" s="5" t="s">
        <v>443</v>
      </c>
      <c r="D368" s="5" t="s">
        <v>447</v>
      </c>
      <c r="E368" s="5" t="str">
        <f t="shared" si="5"/>
        <v>DE05</v>
      </c>
      <c r="F368" s="5" t="s">
        <v>448</v>
      </c>
      <c r="G368" s="95" t="s">
        <v>764</v>
      </c>
      <c r="H368" s="96" t="s">
        <v>20</v>
      </c>
      <c r="I368" s="97">
        <v>10</v>
      </c>
      <c r="J368" s="97"/>
      <c r="K368" s="121" t="str">
        <f>IF(consolidado[[#This Row],[Observações]]="","Não","Sim")</f>
        <v>Não</v>
      </c>
      <c r="L368" s="119">
        <v>12</v>
      </c>
    </row>
    <row r="369" spans="1:12" ht="28.8" x14ac:dyDescent="0.3">
      <c r="A369" s="4" t="s">
        <v>580</v>
      </c>
      <c r="B369" s="4" t="s">
        <v>7</v>
      </c>
      <c r="C369" s="5" t="s">
        <v>449</v>
      </c>
      <c r="D369" s="5" t="s">
        <v>450</v>
      </c>
      <c r="E369" s="5" t="str">
        <f t="shared" si="5"/>
        <v>DE06</v>
      </c>
      <c r="F369" s="5" t="s">
        <v>385</v>
      </c>
      <c r="G369" s="95" t="s">
        <v>649</v>
      </c>
      <c r="H369" s="96" t="s">
        <v>12</v>
      </c>
      <c r="I369" s="97">
        <v>0</v>
      </c>
      <c r="J369" s="97"/>
      <c r="K369" s="121" t="str">
        <f>IF(consolidado[[#This Row],[Observações]]="","Não","Sim")</f>
        <v>Não</v>
      </c>
      <c r="L369" s="119">
        <v>15</v>
      </c>
    </row>
    <row r="370" spans="1:12" ht="28.8" x14ac:dyDescent="0.3">
      <c r="A370" s="4" t="s">
        <v>580</v>
      </c>
      <c r="B370" s="4" t="s">
        <v>7</v>
      </c>
      <c r="C370" s="5" t="s">
        <v>449</v>
      </c>
      <c r="D370" s="5" t="s">
        <v>450</v>
      </c>
      <c r="E370" s="5" t="str">
        <f t="shared" si="5"/>
        <v>DE06</v>
      </c>
      <c r="F370" s="5" t="s">
        <v>385</v>
      </c>
      <c r="G370" s="95" t="s">
        <v>765</v>
      </c>
      <c r="H370" s="96" t="s">
        <v>14</v>
      </c>
      <c r="I370" s="97">
        <v>4</v>
      </c>
      <c r="J370" s="97"/>
      <c r="K370" s="121" t="str">
        <f>IF(consolidado[[#This Row],[Observações]]="","Não","Sim")</f>
        <v>Não</v>
      </c>
      <c r="L370" s="119">
        <v>15</v>
      </c>
    </row>
    <row r="371" spans="1:12" ht="43.2" x14ac:dyDescent="0.3">
      <c r="A371" s="4" t="s">
        <v>580</v>
      </c>
      <c r="B371" s="4" t="s">
        <v>7</v>
      </c>
      <c r="C371" s="5" t="s">
        <v>449</v>
      </c>
      <c r="D371" s="5" t="s">
        <v>450</v>
      </c>
      <c r="E371" s="5" t="str">
        <f t="shared" si="5"/>
        <v>DE06</v>
      </c>
      <c r="F371" s="5" t="s">
        <v>385</v>
      </c>
      <c r="G371" s="95" t="s">
        <v>766</v>
      </c>
      <c r="H371" s="96" t="s">
        <v>16</v>
      </c>
      <c r="I371" s="97">
        <v>6</v>
      </c>
      <c r="J371" s="97"/>
      <c r="K371" s="121" t="str">
        <f>IF(consolidado[[#This Row],[Observações]]="","Não","Sim")</f>
        <v>Não</v>
      </c>
      <c r="L371" s="119">
        <v>15</v>
      </c>
    </row>
    <row r="372" spans="1:12" ht="28.8" x14ac:dyDescent="0.3">
      <c r="A372" s="4" t="s">
        <v>580</v>
      </c>
      <c r="B372" s="4" t="s">
        <v>7</v>
      </c>
      <c r="C372" s="5" t="s">
        <v>449</v>
      </c>
      <c r="D372" s="5" t="s">
        <v>450</v>
      </c>
      <c r="E372" s="5" t="str">
        <f t="shared" si="5"/>
        <v>DE06</v>
      </c>
      <c r="F372" s="5" t="s">
        <v>385</v>
      </c>
      <c r="G372" s="95" t="s">
        <v>767</v>
      </c>
      <c r="H372" s="96" t="s">
        <v>18</v>
      </c>
      <c r="I372" s="97">
        <v>8</v>
      </c>
      <c r="J372" s="97"/>
      <c r="K372" s="121" t="str">
        <f>IF(consolidado[[#This Row],[Observações]]="","Não","Sim")</f>
        <v>Não</v>
      </c>
      <c r="L372" s="119">
        <v>15</v>
      </c>
    </row>
    <row r="373" spans="1:12" ht="28.8" x14ac:dyDescent="0.3">
      <c r="A373" s="4" t="s">
        <v>580</v>
      </c>
      <c r="B373" s="4" t="s">
        <v>7</v>
      </c>
      <c r="C373" s="5" t="s">
        <v>449</v>
      </c>
      <c r="D373" s="5" t="s">
        <v>450</v>
      </c>
      <c r="E373" s="5" t="str">
        <f t="shared" si="5"/>
        <v>DE06</v>
      </c>
      <c r="F373" s="5" t="s">
        <v>385</v>
      </c>
      <c r="G373" s="95" t="s">
        <v>768</v>
      </c>
      <c r="H373" s="96" t="s">
        <v>20</v>
      </c>
      <c r="I373" s="97">
        <v>10</v>
      </c>
      <c r="J373" s="97"/>
      <c r="K373" s="121" t="str">
        <f>IF(consolidado[[#This Row],[Observações]]="","Não","Sim")</f>
        <v>Não</v>
      </c>
      <c r="L373" s="119">
        <v>15</v>
      </c>
    </row>
    <row r="374" spans="1:12" ht="43.2" x14ac:dyDescent="0.3">
      <c r="A374" s="4" t="s">
        <v>580</v>
      </c>
      <c r="B374" s="4" t="s">
        <v>7</v>
      </c>
      <c r="C374" s="5" t="s">
        <v>449</v>
      </c>
      <c r="D374" s="5" t="s">
        <v>451</v>
      </c>
      <c r="E374" s="5" t="str">
        <f t="shared" si="5"/>
        <v>DE07</v>
      </c>
      <c r="F374" s="5" t="s">
        <v>452</v>
      </c>
      <c r="G374" s="95" t="s">
        <v>769</v>
      </c>
      <c r="H374" s="96" t="s">
        <v>12</v>
      </c>
      <c r="I374" s="97">
        <v>0</v>
      </c>
      <c r="J374" s="97"/>
      <c r="K374" s="121" t="str">
        <f>IF(consolidado[[#This Row],[Observações]]="","Não","Sim")</f>
        <v>Não</v>
      </c>
      <c r="L374" s="119">
        <v>12</v>
      </c>
    </row>
    <row r="375" spans="1:12" ht="43.2" x14ac:dyDescent="0.3">
      <c r="A375" s="4" t="s">
        <v>580</v>
      </c>
      <c r="B375" s="4" t="s">
        <v>7</v>
      </c>
      <c r="C375" s="5" t="s">
        <v>449</v>
      </c>
      <c r="D375" s="5" t="s">
        <v>451</v>
      </c>
      <c r="E375" s="5" t="str">
        <f t="shared" si="5"/>
        <v>DE07</v>
      </c>
      <c r="F375" s="5" t="s">
        <v>452</v>
      </c>
      <c r="G375" s="95" t="s">
        <v>770</v>
      </c>
      <c r="H375" s="106" t="s">
        <v>31</v>
      </c>
      <c r="I375" s="107">
        <v>0</v>
      </c>
      <c r="J375" s="107" t="s">
        <v>534</v>
      </c>
      <c r="K375" s="121" t="str">
        <f>IF(consolidado[[#This Row],[Observações]]="","Não","Sim")</f>
        <v>Sim</v>
      </c>
      <c r="L375" s="119">
        <v>12</v>
      </c>
    </row>
    <row r="376" spans="1:12" ht="43.2" x14ac:dyDescent="0.3">
      <c r="A376" s="4" t="s">
        <v>580</v>
      </c>
      <c r="B376" s="4" t="s">
        <v>100</v>
      </c>
      <c r="C376" s="5" t="s">
        <v>453</v>
      </c>
      <c r="D376" s="5" t="s">
        <v>454</v>
      </c>
      <c r="E376" s="5" t="str">
        <f t="shared" si="5"/>
        <v>DS01</v>
      </c>
      <c r="F376" s="5" t="s">
        <v>455</v>
      </c>
      <c r="G376" s="95" t="s">
        <v>773</v>
      </c>
      <c r="H376" s="96" t="s">
        <v>12</v>
      </c>
      <c r="I376" s="97">
        <v>0</v>
      </c>
      <c r="J376" s="97"/>
      <c r="K376" s="121" t="str">
        <f>IF(consolidado[[#This Row],[Observações]]="","Não","Sim")</f>
        <v>Não</v>
      </c>
      <c r="L376" s="119">
        <v>12</v>
      </c>
    </row>
    <row r="377" spans="1:12" ht="28.8" x14ac:dyDescent="0.3">
      <c r="A377" s="4" t="s">
        <v>580</v>
      </c>
      <c r="B377" s="4" t="s">
        <v>100</v>
      </c>
      <c r="C377" s="5" t="s">
        <v>453</v>
      </c>
      <c r="D377" s="5" t="s">
        <v>454</v>
      </c>
      <c r="E377" s="5" t="str">
        <f t="shared" si="5"/>
        <v>DS01</v>
      </c>
      <c r="F377" s="5" t="s">
        <v>455</v>
      </c>
      <c r="G377" s="95" t="s">
        <v>774</v>
      </c>
      <c r="H377" s="96" t="s">
        <v>16</v>
      </c>
      <c r="I377" s="97">
        <v>6</v>
      </c>
      <c r="J377" s="97"/>
      <c r="K377" s="121" t="str">
        <f>IF(consolidado[[#This Row],[Observações]]="","Não","Sim")</f>
        <v>Não</v>
      </c>
      <c r="L377" s="119">
        <v>12</v>
      </c>
    </row>
    <row r="378" spans="1:12" ht="43.2" x14ac:dyDescent="0.3">
      <c r="A378" s="4" t="s">
        <v>580</v>
      </c>
      <c r="B378" s="4" t="s">
        <v>100</v>
      </c>
      <c r="C378" s="5" t="s">
        <v>453</v>
      </c>
      <c r="D378" s="5" t="s">
        <v>454</v>
      </c>
      <c r="E378" s="5" t="str">
        <f t="shared" si="5"/>
        <v>DS01</v>
      </c>
      <c r="F378" s="5" t="s">
        <v>455</v>
      </c>
      <c r="G378" s="95" t="s">
        <v>775</v>
      </c>
      <c r="H378" s="96" t="s">
        <v>18</v>
      </c>
      <c r="I378" s="97">
        <v>8</v>
      </c>
      <c r="J378" s="97"/>
      <c r="K378" s="121" t="str">
        <f>IF(consolidado[[#This Row],[Observações]]="","Não","Sim")</f>
        <v>Não</v>
      </c>
      <c r="L378" s="119">
        <v>12</v>
      </c>
    </row>
    <row r="379" spans="1:12" ht="57.6" x14ac:dyDescent="0.3">
      <c r="A379" s="4" t="s">
        <v>580</v>
      </c>
      <c r="B379" s="4" t="s">
        <v>100</v>
      </c>
      <c r="C379" s="5" t="s">
        <v>453</v>
      </c>
      <c r="D379" s="5" t="s">
        <v>454</v>
      </c>
      <c r="E379" s="5" t="str">
        <f t="shared" si="5"/>
        <v>DS01</v>
      </c>
      <c r="F379" s="5" t="s">
        <v>455</v>
      </c>
      <c r="G379" s="95" t="s">
        <v>776</v>
      </c>
      <c r="H379" s="96" t="s">
        <v>20</v>
      </c>
      <c r="I379" s="97">
        <v>10</v>
      </c>
      <c r="J379" s="97"/>
      <c r="K379" s="121" t="str">
        <f>IF(consolidado[[#This Row],[Observações]]="","Não","Sim")</f>
        <v>Não</v>
      </c>
      <c r="L379" s="119">
        <v>12</v>
      </c>
    </row>
    <row r="380" spans="1:12" ht="43.2" x14ac:dyDescent="0.3">
      <c r="A380" s="4" t="s">
        <v>580</v>
      </c>
      <c r="B380" s="4" t="s">
        <v>100</v>
      </c>
      <c r="C380" s="5" t="s">
        <v>772</v>
      </c>
      <c r="D380" s="5" t="s">
        <v>456</v>
      </c>
      <c r="E380" s="5" t="str">
        <f t="shared" si="5"/>
        <v>DS02</v>
      </c>
      <c r="F380" s="5" t="s">
        <v>771</v>
      </c>
      <c r="G380" s="95" t="s">
        <v>777</v>
      </c>
      <c r="H380" s="96" t="s">
        <v>12</v>
      </c>
      <c r="I380" s="97">
        <v>0</v>
      </c>
      <c r="J380" s="97"/>
      <c r="K380" s="121" t="str">
        <f>IF(consolidado[[#This Row],[Observações]]="","Não","Sim")</f>
        <v>Não</v>
      </c>
      <c r="L380" s="119">
        <v>16</v>
      </c>
    </row>
    <row r="381" spans="1:12" ht="28.8" x14ac:dyDescent="0.3">
      <c r="A381" s="4" t="s">
        <v>580</v>
      </c>
      <c r="B381" s="4" t="s">
        <v>100</v>
      </c>
      <c r="C381" s="5" t="s">
        <v>772</v>
      </c>
      <c r="D381" s="5" t="s">
        <v>456</v>
      </c>
      <c r="E381" s="5" t="str">
        <f t="shared" si="5"/>
        <v>DS02</v>
      </c>
      <c r="F381" s="5" t="s">
        <v>771</v>
      </c>
      <c r="G381" s="95" t="s">
        <v>778</v>
      </c>
      <c r="H381" s="96" t="s">
        <v>18</v>
      </c>
      <c r="I381" s="97">
        <v>8</v>
      </c>
      <c r="J381" s="97"/>
      <c r="K381" s="121" t="str">
        <f>IF(consolidado[[#This Row],[Observações]]="","Não","Sim")</f>
        <v>Não</v>
      </c>
      <c r="L381" s="119">
        <v>16</v>
      </c>
    </row>
    <row r="382" spans="1:12" ht="28.8" x14ac:dyDescent="0.3">
      <c r="A382" s="4" t="s">
        <v>580</v>
      </c>
      <c r="B382" s="4" t="s">
        <v>100</v>
      </c>
      <c r="C382" s="5" t="s">
        <v>772</v>
      </c>
      <c r="D382" s="5" t="s">
        <v>456</v>
      </c>
      <c r="E382" s="5" t="str">
        <f t="shared" si="5"/>
        <v>DS02</v>
      </c>
      <c r="F382" s="5" t="s">
        <v>771</v>
      </c>
      <c r="G382" s="95" t="s">
        <v>779</v>
      </c>
      <c r="H382" s="96" t="s">
        <v>20</v>
      </c>
      <c r="I382" s="97">
        <v>10</v>
      </c>
      <c r="J382" s="97"/>
      <c r="K382" s="121" t="str">
        <f>IF(consolidado[[#This Row],[Observações]]="","Não","Sim")</f>
        <v>Não</v>
      </c>
      <c r="L382" s="119">
        <v>16</v>
      </c>
    </row>
    <row r="383" spans="1:12" ht="43.2" x14ac:dyDescent="0.3">
      <c r="A383" s="4" t="s">
        <v>580</v>
      </c>
      <c r="B383" s="4" t="s">
        <v>239</v>
      </c>
      <c r="C383" s="5" t="s">
        <v>457</v>
      </c>
      <c r="D383" s="5" t="s">
        <v>458</v>
      </c>
      <c r="E383" s="5" t="str">
        <f t="shared" si="5"/>
        <v>DG01</v>
      </c>
      <c r="F383" s="5" t="s">
        <v>459</v>
      </c>
      <c r="G383" s="95" t="s">
        <v>780</v>
      </c>
      <c r="H383" s="96" t="s">
        <v>12</v>
      </c>
      <c r="I383" s="97">
        <v>0</v>
      </c>
      <c r="J383" s="97"/>
      <c r="K383" s="121" t="str">
        <f>IF(consolidado[[#This Row],[Observações]]="","Não","Sim")</f>
        <v>Não</v>
      </c>
      <c r="L383" s="119">
        <v>9</v>
      </c>
    </row>
    <row r="384" spans="1:12" ht="43.2" x14ac:dyDescent="0.3">
      <c r="A384" s="4" t="s">
        <v>580</v>
      </c>
      <c r="B384" s="4" t="s">
        <v>239</v>
      </c>
      <c r="C384" s="5" t="s">
        <v>457</v>
      </c>
      <c r="D384" s="5" t="s">
        <v>458</v>
      </c>
      <c r="E384" s="5" t="str">
        <f t="shared" si="5"/>
        <v>DG01</v>
      </c>
      <c r="F384" s="5" t="s">
        <v>459</v>
      </c>
      <c r="G384" s="95" t="s">
        <v>781</v>
      </c>
      <c r="H384" s="96" t="s">
        <v>18</v>
      </c>
      <c r="I384" s="97">
        <v>8</v>
      </c>
      <c r="J384" s="97"/>
      <c r="K384" s="121" t="str">
        <f>IF(consolidado[[#This Row],[Observações]]="","Não","Sim")</f>
        <v>Não</v>
      </c>
      <c r="L384" s="119">
        <v>9</v>
      </c>
    </row>
    <row r="385" spans="1:12" ht="43.2" x14ac:dyDescent="0.3">
      <c r="A385" s="4" t="s">
        <v>580</v>
      </c>
      <c r="B385" s="4" t="s">
        <v>239</v>
      </c>
      <c r="C385" s="5" t="s">
        <v>457</v>
      </c>
      <c r="D385" s="5" t="s">
        <v>458</v>
      </c>
      <c r="E385" s="5" t="str">
        <f t="shared" si="5"/>
        <v>DG01</v>
      </c>
      <c r="F385" s="5" t="s">
        <v>459</v>
      </c>
      <c r="G385" s="95" t="s">
        <v>782</v>
      </c>
      <c r="H385" s="96" t="s">
        <v>20</v>
      </c>
      <c r="I385" s="97">
        <v>10</v>
      </c>
      <c r="J385" s="97"/>
      <c r="K385" s="121" t="str">
        <f>IF(consolidado[[#This Row],[Observações]]="","Não","Sim")</f>
        <v>Não</v>
      </c>
      <c r="L385" s="119">
        <v>9</v>
      </c>
    </row>
    <row r="386" spans="1:12" ht="43.2" x14ac:dyDescent="0.3">
      <c r="A386" s="4" t="s">
        <v>581</v>
      </c>
      <c r="B386" s="4" t="s">
        <v>7</v>
      </c>
      <c r="C386" s="5" t="s">
        <v>460</v>
      </c>
      <c r="D386" s="5" t="s">
        <v>461</v>
      </c>
      <c r="E386" s="5" t="str">
        <f t="shared" si="5"/>
        <v>EE01</v>
      </c>
      <c r="F386" s="5" t="s">
        <v>462</v>
      </c>
      <c r="G386" s="95" t="s">
        <v>790</v>
      </c>
      <c r="H386" s="96" t="s">
        <v>12</v>
      </c>
      <c r="I386" s="97">
        <v>0</v>
      </c>
      <c r="J386" s="97"/>
      <c r="K386" s="121" t="str">
        <f>IF(consolidado[[#This Row],[Observações]]="","Não","Sim")</f>
        <v>Não</v>
      </c>
      <c r="L386" s="119">
        <v>13</v>
      </c>
    </row>
    <row r="387" spans="1:12" ht="28.8" x14ac:dyDescent="0.3">
      <c r="A387" s="4" t="s">
        <v>581</v>
      </c>
      <c r="B387" s="4" t="s">
        <v>7</v>
      </c>
      <c r="C387" s="5" t="s">
        <v>460</v>
      </c>
      <c r="D387" s="5" t="s">
        <v>461</v>
      </c>
      <c r="E387" s="5" t="str">
        <f t="shared" ref="E387:E450" si="6">SUBSTITUTE(D387," ","")</f>
        <v>EE01</v>
      </c>
      <c r="F387" s="5" t="s">
        <v>462</v>
      </c>
      <c r="G387" s="95" t="s">
        <v>791</v>
      </c>
      <c r="H387" s="96" t="s">
        <v>14</v>
      </c>
      <c r="I387" s="97">
        <v>4</v>
      </c>
      <c r="J387" s="97"/>
      <c r="K387" s="121" t="str">
        <f>IF(consolidado[[#This Row],[Observações]]="","Não","Sim")</f>
        <v>Não</v>
      </c>
      <c r="L387" s="119">
        <v>13</v>
      </c>
    </row>
    <row r="388" spans="1:12" ht="28.8" x14ac:dyDescent="0.3">
      <c r="A388" s="4" t="s">
        <v>581</v>
      </c>
      <c r="B388" s="4" t="s">
        <v>7</v>
      </c>
      <c r="C388" s="5" t="s">
        <v>460</v>
      </c>
      <c r="D388" s="5" t="s">
        <v>461</v>
      </c>
      <c r="E388" s="5" t="str">
        <f t="shared" si="6"/>
        <v>EE01</v>
      </c>
      <c r="F388" s="5" t="s">
        <v>462</v>
      </c>
      <c r="G388" s="95" t="s">
        <v>792</v>
      </c>
      <c r="H388" s="96" t="s">
        <v>16</v>
      </c>
      <c r="I388" s="97">
        <v>6</v>
      </c>
      <c r="J388" s="97"/>
      <c r="K388" s="121" t="str">
        <f>IF(consolidado[[#This Row],[Observações]]="","Não","Sim")</f>
        <v>Não</v>
      </c>
      <c r="L388" s="119">
        <v>13</v>
      </c>
    </row>
    <row r="389" spans="1:12" ht="43.2" x14ac:dyDescent="0.3">
      <c r="A389" s="4" t="s">
        <v>581</v>
      </c>
      <c r="B389" s="4" t="s">
        <v>7</v>
      </c>
      <c r="C389" s="5" t="s">
        <v>460</v>
      </c>
      <c r="D389" s="5" t="s">
        <v>461</v>
      </c>
      <c r="E389" s="5" t="str">
        <f t="shared" si="6"/>
        <v>EE01</v>
      </c>
      <c r="F389" s="5" t="s">
        <v>462</v>
      </c>
      <c r="G389" s="95" t="s">
        <v>793</v>
      </c>
      <c r="H389" s="96" t="s">
        <v>18</v>
      </c>
      <c r="I389" s="97">
        <v>8</v>
      </c>
      <c r="J389" s="97"/>
      <c r="K389" s="121" t="str">
        <f>IF(consolidado[[#This Row],[Observações]]="","Não","Sim")</f>
        <v>Não</v>
      </c>
      <c r="L389" s="119">
        <v>13</v>
      </c>
    </row>
    <row r="390" spans="1:12" ht="43.2" x14ac:dyDescent="0.3">
      <c r="A390" s="4" t="s">
        <v>581</v>
      </c>
      <c r="B390" s="4" t="s">
        <v>7</v>
      </c>
      <c r="C390" s="5" t="s">
        <v>460</v>
      </c>
      <c r="D390" s="5" t="s">
        <v>461</v>
      </c>
      <c r="E390" s="5" t="str">
        <f t="shared" si="6"/>
        <v>EE01</v>
      </c>
      <c r="F390" s="5" t="s">
        <v>462</v>
      </c>
      <c r="G390" s="95" t="s">
        <v>794</v>
      </c>
      <c r="H390" s="96" t="s">
        <v>20</v>
      </c>
      <c r="I390" s="97">
        <v>10</v>
      </c>
      <c r="J390" s="97"/>
      <c r="K390" s="121" t="str">
        <f>IF(consolidado[[#This Row],[Observações]]="","Não","Sim")</f>
        <v>Não</v>
      </c>
      <c r="L390" s="119">
        <v>13</v>
      </c>
    </row>
    <row r="391" spans="1:12" ht="43.2" x14ac:dyDescent="0.3">
      <c r="A391" s="4" t="s">
        <v>581</v>
      </c>
      <c r="B391" s="4" t="s">
        <v>7</v>
      </c>
      <c r="C391" s="5" t="s">
        <v>460</v>
      </c>
      <c r="D391" s="5" t="s">
        <v>463</v>
      </c>
      <c r="E391" s="5" t="str">
        <f t="shared" si="6"/>
        <v>EE02</v>
      </c>
      <c r="F391" s="5" t="s">
        <v>464</v>
      </c>
      <c r="G391" s="95" t="s">
        <v>684</v>
      </c>
      <c r="H391" s="96" t="s">
        <v>12</v>
      </c>
      <c r="I391" s="97">
        <v>0</v>
      </c>
      <c r="J391" s="97"/>
      <c r="K391" s="121" t="str">
        <f>IF(consolidado[[#This Row],[Observações]]="","Não","Sim")</f>
        <v>Não</v>
      </c>
      <c r="L391" s="119" t="s">
        <v>872</v>
      </c>
    </row>
    <row r="392" spans="1:12" ht="43.2" x14ac:dyDescent="0.3">
      <c r="A392" s="4" t="s">
        <v>581</v>
      </c>
      <c r="B392" s="4" t="s">
        <v>7</v>
      </c>
      <c r="C392" s="5" t="s">
        <v>460</v>
      </c>
      <c r="D392" s="5" t="s">
        <v>463</v>
      </c>
      <c r="E392" s="5" t="str">
        <f t="shared" si="6"/>
        <v>EE02</v>
      </c>
      <c r="F392" s="5" t="s">
        <v>464</v>
      </c>
      <c r="G392" s="95" t="s">
        <v>685</v>
      </c>
      <c r="H392" s="96" t="s">
        <v>14</v>
      </c>
      <c r="I392" s="97">
        <v>4</v>
      </c>
      <c r="J392" s="97"/>
      <c r="K392" s="121" t="str">
        <f>IF(consolidado[[#This Row],[Observações]]="","Não","Sim")</f>
        <v>Não</v>
      </c>
      <c r="L392" s="119" t="s">
        <v>872</v>
      </c>
    </row>
    <row r="393" spans="1:12" ht="39.6" x14ac:dyDescent="0.3">
      <c r="A393" s="4" t="s">
        <v>581</v>
      </c>
      <c r="B393" s="4" t="s">
        <v>7</v>
      </c>
      <c r="C393" s="5" t="s">
        <v>460</v>
      </c>
      <c r="D393" s="5" t="s">
        <v>463</v>
      </c>
      <c r="E393" s="5" t="str">
        <f t="shared" si="6"/>
        <v>EE02</v>
      </c>
      <c r="F393" s="5" t="s">
        <v>464</v>
      </c>
      <c r="G393" s="95" t="s">
        <v>686</v>
      </c>
      <c r="H393" s="96" t="s">
        <v>16</v>
      </c>
      <c r="I393" s="97">
        <v>6</v>
      </c>
      <c r="J393" s="97"/>
      <c r="K393" s="121" t="str">
        <f>IF(consolidado[[#This Row],[Observações]]="","Não","Sim")</f>
        <v>Não</v>
      </c>
      <c r="L393" s="119" t="s">
        <v>872</v>
      </c>
    </row>
    <row r="394" spans="1:12" ht="39.6" x14ac:dyDescent="0.3">
      <c r="A394" s="4" t="s">
        <v>581</v>
      </c>
      <c r="B394" s="4" t="s">
        <v>7</v>
      </c>
      <c r="C394" s="5" t="s">
        <v>460</v>
      </c>
      <c r="D394" s="5" t="s">
        <v>463</v>
      </c>
      <c r="E394" s="5" t="str">
        <f t="shared" si="6"/>
        <v>EE02</v>
      </c>
      <c r="F394" s="5" t="s">
        <v>464</v>
      </c>
      <c r="G394" s="95" t="s">
        <v>795</v>
      </c>
      <c r="H394" s="96" t="s">
        <v>18</v>
      </c>
      <c r="I394" s="97">
        <v>8</v>
      </c>
      <c r="J394" s="97"/>
      <c r="K394" s="121" t="str">
        <f>IF(consolidado[[#This Row],[Observações]]="","Não","Sim")</f>
        <v>Não</v>
      </c>
      <c r="L394" s="119" t="s">
        <v>872</v>
      </c>
    </row>
    <row r="395" spans="1:12" ht="39.6" x14ac:dyDescent="0.3">
      <c r="A395" s="4" t="s">
        <v>581</v>
      </c>
      <c r="B395" s="4" t="s">
        <v>7</v>
      </c>
      <c r="C395" s="5" t="s">
        <v>460</v>
      </c>
      <c r="D395" s="5" t="s">
        <v>463</v>
      </c>
      <c r="E395" s="5" t="str">
        <f t="shared" si="6"/>
        <v>EE02</v>
      </c>
      <c r="F395" s="5" t="s">
        <v>464</v>
      </c>
      <c r="G395" s="95" t="s">
        <v>796</v>
      </c>
      <c r="H395" s="96" t="s">
        <v>20</v>
      </c>
      <c r="I395" s="97">
        <v>10</v>
      </c>
      <c r="J395" s="97"/>
      <c r="K395" s="121" t="str">
        <f>IF(consolidado[[#This Row],[Observações]]="","Não","Sim")</f>
        <v>Não</v>
      </c>
      <c r="L395" s="119" t="s">
        <v>872</v>
      </c>
    </row>
    <row r="396" spans="1:12" ht="43.2" x14ac:dyDescent="0.3">
      <c r="A396" s="4" t="s">
        <v>581</v>
      </c>
      <c r="B396" s="4" t="s">
        <v>7</v>
      </c>
      <c r="C396" s="5" t="s">
        <v>415</v>
      </c>
      <c r="D396" s="5" t="s">
        <v>465</v>
      </c>
      <c r="E396" s="5" t="str">
        <f t="shared" si="6"/>
        <v>EE03</v>
      </c>
      <c r="F396" s="5" t="s">
        <v>466</v>
      </c>
      <c r="G396" s="95" t="s">
        <v>797</v>
      </c>
      <c r="H396" s="96" t="s">
        <v>12</v>
      </c>
      <c r="I396" s="97">
        <v>0</v>
      </c>
      <c r="J396" s="97"/>
      <c r="K396" s="121" t="str">
        <f>IF(consolidado[[#This Row],[Observações]]="","Não","Sim")</f>
        <v>Não</v>
      </c>
      <c r="L396" s="119">
        <v>15</v>
      </c>
    </row>
    <row r="397" spans="1:12" ht="43.2" x14ac:dyDescent="0.3">
      <c r="A397" s="4" t="s">
        <v>581</v>
      </c>
      <c r="B397" s="4" t="s">
        <v>7</v>
      </c>
      <c r="C397" s="5" t="s">
        <v>415</v>
      </c>
      <c r="D397" s="5" t="s">
        <v>465</v>
      </c>
      <c r="E397" s="5" t="str">
        <f t="shared" si="6"/>
        <v>EE03</v>
      </c>
      <c r="F397" s="5" t="s">
        <v>466</v>
      </c>
      <c r="G397" s="95" t="s">
        <v>798</v>
      </c>
      <c r="H397" s="96" t="s">
        <v>16</v>
      </c>
      <c r="I397" s="97">
        <v>6</v>
      </c>
      <c r="J397" s="97"/>
      <c r="K397" s="121" t="str">
        <f>IF(consolidado[[#This Row],[Observações]]="","Não","Sim")</f>
        <v>Não</v>
      </c>
      <c r="L397" s="119">
        <v>15</v>
      </c>
    </row>
    <row r="398" spans="1:12" ht="28.8" x14ac:dyDescent="0.3">
      <c r="A398" s="4" t="s">
        <v>581</v>
      </c>
      <c r="B398" s="4" t="s">
        <v>7</v>
      </c>
      <c r="C398" s="5" t="s">
        <v>415</v>
      </c>
      <c r="D398" s="5" t="s">
        <v>465</v>
      </c>
      <c r="E398" s="5" t="str">
        <f t="shared" si="6"/>
        <v>EE03</v>
      </c>
      <c r="F398" s="5" t="s">
        <v>466</v>
      </c>
      <c r="G398" s="95" t="s">
        <v>799</v>
      </c>
      <c r="H398" s="96" t="s">
        <v>18</v>
      </c>
      <c r="I398" s="97">
        <v>8</v>
      </c>
      <c r="J398" s="97"/>
      <c r="K398" s="121" t="str">
        <f>IF(consolidado[[#This Row],[Observações]]="","Não","Sim")</f>
        <v>Não</v>
      </c>
      <c r="L398" s="119">
        <v>15</v>
      </c>
    </row>
    <row r="399" spans="1:12" ht="43.2" x14ac:dyDescent="0.3">
      <c r="A399" s="4" t="s">
        <v>581</v>
      </c>
      <c r="B399" s="4" t="s">
        <v>7</v>
      </c>
      <c r="C399" s="5" t="s">
        <v>415</v>
      </c>
      <c r="D399" s="5" t="s">
        <v>465</v>
      </c>
      <c r="E399" s="5" t="str">
        <f t="shared" si="6"/>
        <v>EE03</v>
      </c>
      <c r="F399" s="5" t="s">
        <v>466</v>
      </c>
      <c r="G399" s="95" t="s">
        <v>800</v>
      </c>
      <c r="H399" s="96" t="s">
        <v>20</v>
      </c>
      <c r="I399" s="97">
        <v>10</v>
      </c>
      <c r="J399" s="97"/>
      <c r="K399" s="121" t="str">
        <f>IF(consolidado[[#This Row],[Observações]]="","Não","Sim")</f>
        <v>Não</v>
      </c>
      <c r="L399" s="119">
        <v>15</v>
      </c>
    </row>
    <row r="400" spans="1:12" ht="28.8" x14ac:dyDescent="0.3">
      <c r="A400" s="4" t="s">
        <v>581</v>
      </c>
      <c r="B400" s="4" t="s">
        <v>7</v>
      </c>
      <c r="C400" s="5" t="s">
        <v>415</v>
      </c>
      <c r="D400" s="5" t="s">
        <v>467</v>
      </c>
      <c r="E400" s="5" t="str">
        <f t="shared" si="6"/>
        <v>EE04</v>
      </c>
      <c r="F400" s="5" t="s">
        <v>468</v>
      </c>
      <c r="G400" s="95" t="s">
        <v>801</v>
      </c>
      <c r="H400" s="96" t="s">
        <v>12</v>
      </c>
      <c r="I400" s="97">
        <v>0</v>
      </c>
      <c r="J400" s="97"/>
      <c r="K400" s="121" t="str">
        <f>IF(consolidado[[#This Row],[Observações]]="","Não","Sim")</f>
        <v>Não</v>
      </c>
      <c r="L400" s="119">
        <v>15</v>
      </c>
    </row>
    <row r="401" spans="1:12" ht="43.2" x14ac:dyDescent="0.3">
      <c r="A401" s="4" t="s">
        <v>581</v>
      </c>
      <c r="B401" s="4" t="s">
        <v>7</v>
      </c>
      <c r="C401" s="5" t="s">
        <v>415</v>
      </c>
      <c r="D401" s="5" t="s">
        <v>467</v>
      </c>
      <c r="E401" s="5" t="str">
        <f t="shared" si="6"/>
        <v>EE04</v>
      </c>
      <c r="F401" s="5" t="s">
        <v>468</v>
      </c>
      <c r="G401" s="95" t="s">
        <v>802</v>
      </c>
      <c r="H401" s="96" t="s">
        <v>16</v>
      </c>
      <c r="I401" s="97">
        <v>6</v>
      </c>
      <c r="J401" s="97"/>
      <c r="K401" s="121" t="str">
        <f>IF(consolidado[[#This Row],[Observações]]="","Não","Sim")</f>
        <v>Não</v>
      </c>
      <c r="L401" s="119">
        <v>15</v>
      </c>
    </row>
    <row r="402" spans="1:12" ht="43.2" x14ac:dyDescent="0.3">
      <c r="A402" s="4" t="s">
        <v>581</v>
      </c>
      <c r="B402" s="4" t="s">
        <v>7</v>
      </c>
      <c r="C402" s="5" t="s">
        <v>415</v>
      </c>
      <c r="D402" s="5" t="s">
        <v>467</v>
      </c>
      <c r="E402" s="5" t="str">
        <f t="shared" si="6"/>
        <v>EE04</v>
      </c>
      <c r="F402" s="5" t="s">
        <v>468</v>
      </c>
      <c r="G402" s="95" t="s">
        <v>803</v>
      </c>
      <c r="H402" s="96" t="s">
        <v>18</v>
      </c>
      <c r="I402" s="97">
        <v>8</v>
      </c>
      <c r="J402" s="97"/>
      <c r="K402" s="121" t="str">
        <f>IF(consolidado[[#This Row],[Observações]]="","Não","Sim")</f>
        <v>Não</v>
      </c>
      <c r="L402" s="119">
        <v>15</v>
      </c>
    </row>
    <row r="403" spans="1:12" ht="43.2" x14ac:dyDescent="0.3">
      <c r="A403" s="4" t="s">
        <v>581</v>
      </c>
      <c r="B403" s="4" t="s">
        <v>7</v>
      </c>
      <c r="C403" s="5" t="s">
        <v>415</v>
      </c>
      <c r="D403" s="5" t="s">
        <v>467</v>
      </c>
      <c r="E403" s="5" t="str">
        <f t="shared" si="6"/>
        <v>EE04</v>
      </c>
      <c r="F403" s="5" t="s">
        <v>468</v>
      </c>
      <c r="G403" s="95" t="s">
        <v>804</v>
      </c>
      <c r="H403" s="96" t="s">
        <v>20</v>
      </c>
      <c r="I403" s="97">
        <v>10</v>
      </c>
      <c r="J403" s="97"/>
      <c r="K403" s="121" t="str">
        <f>IF(consolidado[[#This Row],[Observações]]="","Não","Sim")</f>
        <v>Não</v>
      </c>
      <c r="L403" s="119">
        <v>15</v>
      </c>
    </row>
    <row r="404" spans="1:12" ht="28.8" x14ac:dyDescent="0.3">
      <c r="A404" s="4" t="s">
        <v>581</v>
      </c>
      <c r="B404" s="4" t="s">
        <v>7</v>
      </c>
      <c r="C404" s="5" t="s">
        <v>469</v>
      </c>
      <c r="D404" s="5" t="s">
        <v>470</v>
      </c>
      <c r="E404" s="5" t="str">
        <f t="shared" si="6"/>
        <v>EE05</v>
      </c>
      <c r="F404" s="5" t="s">
        <v>471</v>
      </c>
      <c r="G404" s="95" t="s">
        <v>805</v>
      </c>
      <c r="H404" s="96" t="s">
        <v>12</v>
      </c>
      <c r="I404" s="97">
        <v>0</v>
      </c>
      <c r="J404" s="97"/>
      <c r="K404" s="121" t="str">
        <f>IF(consolidado[[#This Row],[Observações]]="","Não","Sim")</f>
        <v>Não</v>
      </c>
      <c r="L404" s="119">
        <v>12</v>
      </c>
    </row>
    <row r="405" spans="1:12" ht="43.2" x14ac:dyDescent="0.3">
      <c r="A405" s="4" t="s">
        <v>581</v>
      </c>
      <c r="B405" s="4" t="s">
        <v>7</v>
      </c>
      <c r="C405" s="5" t="s">
        <v>469</v>
      </c>
      <c r="D405" s="5" t="s">
        <v>470</v>
      </c>
      <c r="E405" s="5" t="str">
        <f t="shared" si="6"/>
        <v>EE05</v>
      </c>
      <c r="F405" s="5" t="s">
        <v>471</v>
      </c>
      <c r="G405" s="95" t="s">
        <v>806</v>
      </c>
      <c r="H405" s="96" t="s">
        <v>18</v>
      </c>
      <c r="I405" s="97">
        <v>8</v>
      </c>
      <c r="J405" s="97"/>
      <c r="K405" s="121" t="str">
        <f>IF(consolidado[[#This Row],[Observações]]="","Não","Sim")</f>
        <v>Não</v>
      </c>
      <c r="L405" s="119">
        <v>12</v>
      </c>
    </row>
    <row r="406" spans="1:12" ht="43.2" x14ac:dyDescent="0.3">
      <c r="A406" s="4" t="s">
        <v>581</v>
      </c>
      <c r="B406" s="4" t="s">
        <v>7</v>
      </c>
      <c r="C406" s="5" t="s">
        <v>469</v>
      </c>
      <c r="D406" s="5" t="s">
        <v>470</v>
      </c>
      <c r="E406" s="5" t="str">
        <f t="shared" si="6"/>
        <v>EE05</v>
      </c>
      <c r="F406" s="5" t="s">
        <v>471</v>
      </c>
      <c r="G406" s="95" t="s">
        <v>807</v>
      </c>
      <c r="H406" s="96" t="s">
        <v>20</v>
      </c>
      <c r="I406" s="97">
        <v>10</v>
      </c>
      <c r="J406" s="97"/>
      <c r="K406" s="121" t="str">
        <f>IF(consolidado[[#This Row],[Observações]]="","Não","Sim")</f>
        <v>Não</v>
      </c>
      <c r="L406" s="119">
        <v>12</v>
      </c>
    </row>
    <row r="407" spans="1:12" ht="28.8" x14ac:dyDescent="0.3">
      <c r="A407" s="4" t="s">
        <v>581</v>
      </c>
      <c r="B407" s="4" t="s">
        <v>100</v>
      </c>
      <c r="C407" s="5" t="s">
        <v>472</v>
      </c>
      <c r="D407" s="5" t="s">
        <v>473</v>
      </c>
      <c r="E407" s="5" t="str">
        <f t="shared" si="6"/>
        <v>ES01</v>
      </c>
      <c r="F407" s="5" t="s">
        <v>474</v>
      </c>
      <c r="G407" s="95" t="s">
        <v>808</v>
      </c>
      <c r="H407" s="96" t="s">
        <v>12</v>
      </c>
      <c r="I407" s="97">
        <v>0</v>
      </c>
      <c r="J407" s="97"/>
      <c r="K407" s="121" t="str">
        <f>IF(consolidado[[#This Row],[Observações]]="","Não","Sim")</f>
        <v>Não</v>
      </c>
      <c r="L407" s="119" t="s">
        <v>873</v>
      </c>
    </row>
    <row r="408" spans="1:12" ht="28.8" x14ac:dyDescent="0.3">
      <c r="A408" s="4" t="s">
        <v>581</v>
      </c>
      <c r="B408" s="4" t="s">
        <v>100</v>
      </c>
      <c r="C408" s="5" t="s">
        <v>472</v>
      </c>
      <c r="D408" s="5" t="s">
        <v>473</v>
      </c>
      <c r="E408" s="5" t="str">
        <f t="shared" si="6"/>
        <v>ES01</v>
      </c>
      <c r="F408" s="5" t="s">
        <v>474</v>
      </c>
      <c r="G408" s="95" t="s">
        <v>809</v>
      </c>
      <c r="H408" s="96" t="s">
        <v>16</v>
      </c>
      <c r="I408" s="97">
        <v>6</v>
      </c>
      <c r="J408" s="97"/>
      <c r="K408" s="121" t="str">
        <f>IF(consolidado[[#This Row],[Observações]]="","Não","Sim")</f>
        <v>Não</v>
      </c>
      <c r="L408" s="119" t="s">
        <v>873</v>
      </c>
    </row>
    <row r="409" spans="1:12" ht="28.8" x14ac:dyDescent="0.3">
      <c r="A409" s="4" t="s">
        <v>581</v>
      </c>
      <c r="B409" s="4" t="s">
        <v>100</v>
      </c>
      <c r="C409" s="5" t="s">
        <v>472</v>
      </c>
      <c r="D409" s="5" t="s">
        <v>473</v>
      </c>
      <c r="E409" s="5" t="str">
        <f t="shared" si="6"/>
        <v>ES01</v>
      </c>
      <c r="F409" s="5" t="s">
        <v>474</v>
      </c>
      <c r="G409" s="95" t="s">
        <v>810</v>
      </c>
      <c r="H409" s="96" t="s">
        <v>18</v>
      </c>
      <c r="I409" s="97">
        <v>8</v>
      </c>
      <c r="J409" s="97"/>
      <c r="K409" s="121" t="str">
        <f>IF(consolidado[[#This Row],[Observações]]="","Não","Sim")</f>
        <v>Não</v>
      </c>
      <c r="L409" s="119" t="s">
        <v>873</v>
      </c>
    </row>
    <row r="410" spans="1:12" ht="43.2" x14ac:dyDescent="0.3">
      <c r="A410" s="4" t="s">
        <v>581</v>
      </c>
      <c r="B410" s="4" t="s">
        <v>100</v>
      </c>
      <c r="C410" s="5" t="s">
        <v>472</v>
      </c>
      <c r="D410" s="5" t="s">
        <v>473</v>
      </c>
      <c r="E410" s="5" t="str">
        <f t="shared" si="6"/>
        <v>ES01</v>
      </c>
      <c r="F410" s="5" t="s">
        <v>474</v>
      </c>
      <c r="G410" s="95" t="s">
        <v>811</v>
      </c>
      <c r="H410" s="96" t="s">
        <v>20</v>
      </c>
      <c r="I410" s="97">
        <v>10</v>
      </c>
      <c r="J410" s="97"/>
      <c r="K410" s="121" t="str">
        <f>IF(consolidado[[#This Row],[Observações]]="","Não","Sim")</f>
        <v>Não</v>
      </c>
      <c r="L410" s="119" t="s">
        <v>873</v>
      </c>
    </row>
    <row r="411" spans="1:12" ht="43.2" x14ac:dyDescent="0.3">
      <c r="A411" s="4" t="s">
        <v>581</v>
      </c>
      <c r="B411" s="4" t="s">
        <v>100</v>
      </c>
      <c r="C411" s="5" t="s">
        <v>475</v>
      </c>
      <c r="D411" s="5" t="s">
        <v>476</v>
      </c>
      <c r="E411" s="5" t="str">
        <f t="shared" si="6"/>
        <v>ES02</v>
      </c>
      <c r="F411" s="5" t="s">
        <v>477</v>
      </c>
      <c r="G411" s="95" t="s">
        <v>812</v>
      </c>
      <c r="H411" s="96" t="s">
        <v>12</v>
      </c>
      <c r="I411" s="97">
        <v>0</v>
      </c>
      <c r="J411" s="97"/>
      <c r="K411" s="121" t="str">
        <f>IF(consolidado[[#This Row],[Observações]]="","Não","Sim")</f>
        <v>Não</v>
      </c>
      <c r="L411" s="119" t="s">
        <v>874</v>
      </c>
    </row>
    <row r="412" spans="1:12" ht="43.2" x14ac:dyDescent="0.3">
      <c r="A412" s="4" t="s">
        <v>581</v>
      </c>
      <c r="B412" s="4" t="s">
        <v>100</v>
      </c>
      <c r="C412" s="5" t="s">
        <v>475</v>
      </c>
      <c r="D412" s="5" t="s">
        <v>476</v>
      </c>
      <c r="E412" s="5" t="str">
        <f t="shared" si="6"/>
        <v>ES02</v>
      </c>
      <c r="F412" s="5" t="s">
        <v>477</v>
      </c>
      <c r="G412" s="95" t="s">
        <v>813</v>
      </c>
      <c r="H412" s="106" t="s">
        <v>18</v>
      </c>
      <c r="I412" s="107">
        <v>0</v>
      </c>
      <c r="J412" s="107" t="s">
        <v>534</v>
      </c>
      <c r="K412" s="121" t="str">
        <f>IF(consolidado[[#This Row],[Observações]]="","Não","Sim")</f>
        <v>Sim</v>
      </c>
      <c r="L412" s="119" t="s">
        <v>874</v>
      </c>
    </row>
    <row r="413" spans="1:12" ht="43.2" x14ac:dyDescent="0.3">
      <c r="A413" s="4" t="s">
        <v>581</v>
      </c>
      <c r="B413" s="4" t="s">
        <v>100</v>
      </c>
      <c r="C413" s="5" t="s">
        <v>475</v>
      </c>
      <c r="D413" s="5" t="s">
        <v>476</v>
      </c>
      <c r="E413" s="5" t="str">
        <f t="shared" si="6"/>
        <v>ES02</v>
      </c>
      <c r="F413" s="5" t="s">
        <v>477</v>
      </c>
      <c r="G413" s="95" t="s">
        <v>814</v>
      </c>
      <c r="H413" s="96" t="s">
        <v>20</v>
      </c>
      <c r="I413" s="97">
        <v>10</v>
      </c>
      <c r="J413" s="97"/>
      <c r="K413" s="121" t="str">
        <f>IF(consolidado[[#This Row],[Observações]]="","Não","Sim")</f>
        <v>Não</v>
      </c>
      <c r="L413" s="119" t="s">
        <v>874</v>
      </c>
    </row>
    <row r="414" spans="1:12" ht="28.8" x14ac:dyDescent="0.3">
      <c r="A414" s="4" t="s">
        <v>581</v>
      </c>
      <c r="B414" s="4" t="s">
        <v>100</v>
      </c>
      <c r="C414" s="5" t="s">
        <v>423</v>
      </c>
      <c r="D414" s="5" t="s">
        <v>478</v>
      </c>
      <c r="E414" s="5" t="str">
        <f t="shared" si="6"/>
        <v>ES03</v>
      </c>
      <c r="F414" s="5" t="s">
        <v>479</v>
      </c>
      <c r="G414" s="95" t="s">
        <v>815</v>
      </c>
      <c r="H414" s="96" t="s">
        <v>12</v>
      </c>
      <c r="I414" s="97">
        <v>0</v>
      </c>
      <c r="J414" s="97"/>
      <c r="K414" s="121" t="str">
        <f>IF(consolidado[[#This Row],[Observações]]="","Não","Sim")</f>
        <v>Não</v>
      </c>
      <c r="L414" s="119" t="s">
        <v>875</v>
      </c>
    </row>
    <row r="415" spans="1:12" ht="43.2" x14ac:dyDescent="0.3">
      <c r="A415" s="4" t="s">
        <v>581</v>
      </c>
      <c r="B415" s="4" t="s">
        <v>100</v>
      </c>
      <c r="C415" s="5" t="s">
        <v>423</v>
      </c>
      <c r="D415" s="5" t="s">
        <v>478</v>
      </c>
      <c r="E415" s="5" t="str">
        <f t="shared" si="6"/>
        <v>ES03</v>
      </c>
      <c r="F415" s="5" t="s">
        <v>479</v>
      </c>
      <c r="G415" s="95" t="s">
        <v>816</v>
      </c>
      <c r="H415" s="96" t="s">
        <v>18</v>
      </c>
      <c r="I415" s="97">
        <v>8</v>
      </c>
      <c r="J415" s="97"/>
      <c r="K415" s="121" t="str">
        <f>IF(consolidado[[#This Row],[Observações]]="","Não","Sim")</f>
        <v>Não</v>
      </c>
      <c r="L415" s="119" t="s">
        <v>875</v>
      </c>
    </row>
    <row r="416" spans="1:12" ht="43.2" x14ac:dyDescent="0.3">
      <c r="A416" s="4" t="s">
        <v>581</v>
      </c>
      <c r="B416" s="4" t="s">
        <v>100</v>
      </c>
      <c r="C416" s="5" t="s">
        <v>423</v>
      </c>
      <c r="D416" s="5" t="s">
        <v>478</v>
      </c>
      <c r="E416" s="5" t="str">
        <f t="shared" si="6"/>
        <v>ES03</v>
      </c>
      <c r="F416" s="5" t="s">
        <v>479</v>
      </c>
      <c r="G416" s="95" t="s">
        <v>817</v>
      </c>
      <c r="H416" s="96" t="s">
        <v>20</v>
      </c>
      <c r="I416" s="97">
        <v>10</v>
      </c>
      <c r="J416" s="97"/>
      <c r="K416" s="121" t="str">
        <f>IF(consolidado[[#This Row],[Observações]]="","Não","Sim")</f>
        <v>Não</v>
      </c>
      <c r="L416" s="119" t="s">
        <v>875</v>
      </c>
    </row>
    <row r="417" spans="1:12" ht="28.8" x14ac:dyDescent="0.3">
      <c r="A417" s="4" t="s">
        <v>581</v>
      </c>
      <c r="B417" s="4" t="s">
        <v>239</v>
      </c>
      <c r="C417" s="5" t="s">
        <v>480</v>
      </c>
      <c r="D417" s="5" t="s">
        <v>481</v>
      </c>
      <c r="E417" s="5" t="str">
        <f t="shared" si="6"/>
        <v>EG01</v>
      </c>
      <c r="F417" s="5" t="s">
        <v>482</v>
      </c>
      <c r="G417" s="95" t="s">
        <v>818</v>
      </c>
      <c r="H417" s="96" t="s">
        <v>12</v>
      </c>
      <c r="I417" s="97">
        <v>0</v>
      </c>
      <c r="J417" s="97"/>
      <c r="K417" s="121" t="str">
        <f>IF(consolidado[[#This Row],[Observações]]="","Não","Sim")</f>
        <v>Não</v>
      </c>
      <c r="L417" s="119">
        <v>12</v>
      </c>
    </row>
    <row r="418" spans="1:12" ht="43.2" x14ac:dyDescent="0.3">
      <c r="A418" s="4" t="s">
        <v>581</v>
      </c>
      <c r="B418" s="4" t="s">
        <v>239</v>
      </c>
      <c r="C418" s="5" t="s">
        <v>480</v>
      </c>
      <c r="D418" s="5" t="s">
        <v>481</v>
      </c>
      <c r="E418" s="5" t="str">
        <f t="shared" si="6"/>
        <v>EG01</v>
      </c>
      <c r="F418" s="5" t="s">
        <v>482</v>
      </c>
      <c r="G418" s="95" t="s">
        <v>819</v>
      </c>
      <c r="H418" s="96" t="s">
        <v>18</v>
      </c>
      <c r="I418" s="97">
        <v>8</v>
      </c>
      <c r="J418" s="97"/>
      <c r="K418" s="121" t="str">
        <f>IF(consolidado[[#This Row],[Observações]]="","Não","Sim")</f>
        <v>Não</v>
      </c>
      <c r="L418" s="119">
        <v>12</v>
      </c>
    </row>
    <row r="419" spans="1:12" ht="43.2" x14ac:dyDescent="0.3">
      <c r="A419" s="4" t="s">
        <v>581</v>
      </c>
      <c r="B419" s="4" t="s">
        <v>239</v>
      </c>
      <c r="C419" s="5" t="s">
        <v>480</v>
      </c>
      <c r="D419" s="5" t="s">
        <v>481</v>
      </c>
      <c r="E419" s="5" t="str">
        <f t="shared" si="6"/>
        <v>EG01</v>
      </c>
      <c r="F419" s="5" t="s">
        <v>482</v>
      </c>
      <c r="G419" s="95" t="s">
        <v>820</v>
      </c>
      <c r="H419" s="96" t="s">
        <v>20</v>
      </c>
      <c r="I419" s="97">
        <v>10</v>
      </c>
      <c r="J419" s="97"/>
      <c r="K419" s="121" t="str">
        <f>IF(consolidado[[#This Row],[Observações]]="","Não","Sim")</f>
        <v>Não</v>
      </c>
      <c r="L419" s="119">
        <v>12</v>
      </c>
    </row>
    <row r="420" spans="1:12" ht="43.2" x14ac:dyDescent="0.3">
      <c r="A420" s="4" t="s">
        <v>581</v>
      </c>
      <c r="B420" s="4" t="s">
        <v>239</v>
      </c>
      <c r="C420" s="5" t="s">
        <v>483</v>
      </c>
      <c r="D420" s="5" t="s">
        <v>484</v>
      </c>
      <c r="E420" s="5" t="str">
        <f t="shared" si="6"/>
        <v>EG02</v>
      </c>
      <c r="F420" s="5" t="s">
        <v>485</v>
      </c>
      <c r="G420" s="95" t="s">
        <v>821</v>
      </c>
      <c r="H420" s="96" t="s">
        <v>12</v>
      </c>
      <c r="I420" s="97">
        <v>0</v>
      </c>
      <c r="J420" s="97"/>
      <c r="K420" s="121" t="str">
        <f>IF(consolidado[[#This Row],[Observações]]="","Não","Sim")</f>
        <v>Não</v>
      </c>
      <c r="L420" s="119">
        <v>12</v>
      </c>
    </row>
    <row r="421" spans="1:12" ht="43.2" x14ac:dyDescent="0.3">
      <c r="A421" s="4" t="s">
        <v>581</v>
      </c>
      <c r="B421" s="4" t="s">
        <v>239</v>
      </c>
      <c r="C421" s="5" t="s">
        <v>483</v>
      </c>
      <c r="D421" s="5" t="s">
        <v>484</v>
      </c>
      <c r="E421" s="5" t="str">
        <f t="shared" si="6"/>
        <v>EG02</v>
      </c>
      <c r="F421" s="5" t="s">
        <v>485</v>
      </c>
      <c r="G421" s="95" t="s">
        <v>822</v>
      </c>
      <c r="H421" s="96" t="s">
        <v>18</v>
      </c>
      <c r="I421" s="97">
        <v>8</v>
      </c>
      <c r="J421" s="97"/>
      <c r="K421" s="121" t="str">
        <f>IF(consolidado[[#This Row],[Observações]]="","Não","Sim")</f>
        <v>Não</v>
      </c>
      <c r="L421" s="119">
        <v>12</v>
      </c>
    </row>
    <row r="422" spans="1:12" ht="43.2" x14ac:dyDescent="0.3">
      <c r="A422" s="4" t="s">
        <v>581</v>
      </c>
      <c r="B422" s="4" t="s">
        <v>239</v>
      </c>
      <c r="C422" s="5" t="s">
        <v>483</v>
      </c>
      <c r="D422" s="5" t="s">
        <v>484</v>
      </c>
      <c r="E422" s="5" t="str">
        <f t="shared" si="6"/>
        <v>EG02</v>
      </c>
      <c r="F422" s="5" t="s">
        <v>485</v>
      </c>
      <c r="G422" s="95" t="s">
        <v>823</v>
      </c>
      <c r="H422" s="96" t="s">
        <v>20</v>
      </c>
      <c r="I422" s="97">
        <v>10</v>
      </c>
      <c r="J422" s="97"/>
      <c r="K422" s="121" t="str">
        <f>IF(consolidado[[#This Row],[Observações]]="","Não","Sim")</f>
        <v>Não</v>
      </c>
      <c r="L422" s="119">
        <v>12</v>
      </c>
    </row>
    <row r="423" spans="1:12" ht="28.8" x14ac:dyDescent="0.3">
      <c r="A423" s="4" t="s">
        <v>582</v>
      </c>
      <c r="B423" s="4" t="s">
        <v>7</v>
      </c>
      <c r="C423" s="5" t="s">
        <v>486</v>
      </c>
      <c r="D423" s="5" t="s">
        <v>487</v>
      </c>
      <c r="E423" s="5" t="str">
        <f t="shared" si="6"/>
        <v>FE01</v>
      </c>
      <c r="F423" s="5" t="s">
        <v>488</v>
      </c>
      <c r="G423" s="95" t="s">
        <v>824</v>
      </c>
      <c r="H423" s="96" t="s">
        <v>12</v>
      </c>
      <c r="I423" s="97">
        <v>0</v>
      </c>
      <c r="J423" s="97"/>
      <c r="K423" s="121" t="str">
        <f>IF(consolidado[[#This Row],[Observações]]="","Não","Sim")</f>
        <v>Não</v>
      </c>
      <c r="L423" s="119">
        <v>15</v>
      </c>
    </row>
    <row r="424" spans="1:12" ht="43.2" x14ac:dyDescent="0.3">
      <c r="A424" s="4" t="s">
        <v>582</v>
      </c>
      <c r="B424" s="4" t="s">
        <v>7</v>
      </c>
      <c r="C424" s="5" t="s">
        <v>486</v>
      </c>
      <c r="D424" s="5" t="s">
        <v>487</v>
      </c>
      <c r="E424" s="5" t="str">
        <f t="shared" si="6"/>
        <v>FE01</v>
      </c>
      <c r="F424" s="5" t="s">
        <v>488</v>
      </c>
      <c r="G424" s="95" t="s">
        <v>825</v>
      </c>
      <c r="H424" s="96" t="s">
        <v>14</v>
      </c>
      <c r="I424" s="97">
        <v>4</v>
      </c>
      <c r="J424" s="97"/>
      <c r="K424" s="121" t="str">
        <f>IF(consolidado[[#This Row],[Observações]]="","Não","Sim")</f>
        <v>Não</v>
      </c>
      <c r="L424" s="119">
        <v>15</v>
      </c>
    </row>
    <row r="425" spans="1:12" ht="43.2" x14ac:dyDescent="0.3">
      <c r="A425" s="4" t="s">
        <v>582</v>
      </c>
      <c r="B425" s="4" t="s">
        <v>7</v>
      </c>
      <c r="C425" s="5" t="s">
        <v>486</v>
      </c>
      <c r="D425" s="5" t="s">
        <v>487</v>
      </c>
      <c r="E425" s="5" t="str">
        <f t="shared" si="6"/>
        <v>FE01</v>
      </c>
      <c r="F425" s="5" t="s">
        <v>488</v>
      </c>
      <c r="G425" s="95" t="s">
        <v>826</v>
      </c>
      <c r="H425" s="96" t="s">
        <v>16</v>
      </c>
      <c r="I425" s="97">
        <v>6</v>
      </c>
      <c r="J425" s="97"/>
      <c r="K425" s="121" t="str">
        <f>IF(consolidado[[#This Row],[Observações]]="","Não","Sim")</f>
        <v>Não</v>
      </c>
      <c r="L425" s="119">
        <v>15</v>
      </c>
    </row>
    <row r="426" spans="1:12" ht="43.2" x14ac:dyDescent="0.3">
      <c r="A426" s="4" t="s">
        <v>582</v>
      </c>
      <c r="B426" s="4" t="s">
        <v>7</v>
      </c>
      <c r="C426" s="5" t="s">
        <v>486</v>
      </c>
      <c r="D426" s="5" t="s">
        <v>487</v>
      </c>
      <c r="E426" s="5" t="str">
        <f t="shared" si="6"/>
        <v>FE01</v>
      </c>
      <c r="F426" s="5" t="s">
        <v>488</v>
      </c>
      <c r="G426" s="95" t="s">
        <v>827</v>
      </c>
      <c r="H426" s="96" t="s">
        <v>18</v>
      </c>
      <c r="I426" s="97">
        <v>8</v>
      </c>
      <c r="J426" s="97"/>
      <c r="K426" s="121" t="str">
        <f>IF(consolidado[[#This Row],[Observações]]="","Não","Sim")</f>
        <v>Não</v>
      </c>
      <c r="L426" s="119">
        <v>15</v>
      </c>
    </row>
    <row r="427" spans="1:12" ht="28.8" x14ac:dyDescent="0.3">
      <c r="A427" s="4" t="s">
        <v>582</v>
      </c>
      <c r="B427" s="4" t="s">
        <v>7</v>
      </c>
      <c r="C427" s="5" t="s">
        <v>486</v>
      </c>
      <c r="D427" s="5" t="s">
        <v>487</v>
      </c>
      <c r="E427" s="5" t="str">
        <f t="shared" si="6"/>
        <v>FE01</v>
      </c>
      <c r="F427" s="5" t="s">
        <v>488</v>
      </c>
      <c r="G427" s="95" t="s">
        <v>828</v>
      </c>
      <c r="H427" s="96" t="s">
        <v>20</v>
      </c>
      <c r="I427" s="97">
        <v>10</v>
      </c>
      <c r="J427" s="97"/>
      <c r="K427" s="121" t="str">
        <f>IF(consolidado[[#This Row],[Observações]]="","Não","Sim")</f>
        <v>Não</v>
      </c>
      <c r="L427" s="119">
        <v>15</v>
      </c>
    </row>
    <row r="428" spans="1:12" ht="28.8" x14ac:dyDescent="0.3">
      <c r="A428" s="4" t="s">
        <v>582</v>
      </c>
      <c r="B428" s="4" t="s">
        <v>7</v>
      </c>
      <c r="C428" s="5" t="s">
        <v>486</v>
      </c>
      <c r="D428" s="5" t="s">
        <v>489</v>
      </c>
      <c r="E428" s="5" t="str">
        <f t="shared" si="6"/>
        <v>FE02</v>
      </c>
      <c r="F428" s="5" t="s">
        <v>490</v>
      </c>
      <c r="G428" s="95" t="s">
        <v>829</v>
      </c>
      <c r="H428" s="96" t="s">
        <v>12</v>
      </c>
      <c r="I428" s="97">
        <v>0</v>
      </c>
      <c r="J428" s="97"/>
      <c r="K428" s="121" t="str">
        <f>IF(consolidado[[#This Row],[Observações]]="","Não","Sim")</f>
        <v>Não</v>
      </c>
      <c r="L428" s="119" t="s">
        <v>870</v>
      </c>
    </row>
    <row r="429" spans="1:12" ht="28.8" x14ac:dyDescent="0.3">
      <c r="A429" s="4" t="s">
        <v>582</v>
      </c>
      <c r="B429" s="4" t="s">
        <v>7</v>
      </c>
      <c r="C429" s="5" t="s">
        <v>486</v>
      </c>
      <c r="D429" s="5" t="s">
        <v>489</v>
      </c>
      <c r="E429" s="5" t="str">
        <f t="shared" si="6"/>
        <v>FE02</v>
      </c>
      <c r="F429" s="5" t="s">
        <v>490</v>
      </c>
      <c r="G429" s="95" t="s">
        <v>830</v>
      </c>
      <c r="H429" s="96" t="s">
        <v>16</v>
      </c>
      <c r="I429" s="97">
        <v>6</v>
      </c>
      <c r="J429" s="97"/>
      <c r="K429" s="121" t="str">
        <f>IF(consolidado[[#This Row],[Observações]]="","Não","Sim")</f>
        <v>Não</v>
      </c>
      <c r="L429" s="119" t="s">
        <v>870</v>
      </c>
    </row>
    <row r="430" spans="1:12" ht="28.8" x14ac:dyDescent="0.3">
      <c r="A430" s="4" t="s">
        <v>582</v>
      </c>
      <c r="B430" s="4" t="s">
        <v>7</v>
      </c>
      <c r="C430" s="5" t="s">
        <v>486</v>
      </c>
      <c r="D430" s="5" t="s">
        <v>489</v>
      </c>
      <c r="E430" s="5" t="str">
        <f t="shared" si="6"/>
        <v>FE02</v>
      </c>
      <c r="F430" s="5" t="s">
        <v>490</v>
      </c>
      <c r="G430" s="95" t="s">
        <v>831</v>
      </c>
      <c r="H430" s="96" t="s">
        <v>18</v>
      </c>
      <c r="I430" s="97">
        <v>8</v>
      </c>
      <c r="J430" s="97"/>
      <c r="K430" s="121" t="str">
        <f>IF(consolidado[[#This Row],[Observações]]="","Não","Sim")</f>
        <v>Não</v>
      </c>
      <c r="L430" s="119" t="s">
        <v>870</v>
      </c>
    </row>
    <row r="431" spans="1:12" ht="43.2" x14ac:dyDescent="0.3">
      <c r="A431" s="4" t="s">
        <v>582</v>
      </c>
      <c r="B431" s="4" t="s">
        <v>7</v>
      </c>
      <c r="C431" s="5" t="s">
        <v>486</v>
      </c>
      <c r="D431" s="5" t="s">
        <v>489</v>
      </c>
      <c r="E431" s="5" t="str">
        <f t="shared" si="6"/>
        <v>FE02</v>
      </c>
      <c r="F431" s="5" t="s">
        <v>490</v>
      </c>
      <c r="G431" s="95" t="s">
        <v>832</v>
      </c>
      <c r="H431" s="96" t="s">
        <v>20</v>
      </c>
      <c r="I431" s="97">
        <v>10</v>
      </c>
      <c r="J431" s="97"/>
      <c r="K431" s="121" t="str">
        <f>IF(consolidado[[#This Row],[Observações]]="","Não","Sim")</f>
        <v>Não</v>
      </c>
      <c r="L431" s="119" t="s">
        <v>870</v>
      </c>
    </row>
    <row r="432" spans="1:12" ht="43.2" x14ac:dyDescent="0.3">
      <c r="A432" s="4" t="s">
        <v>582</v>
      </c>
      <c r="B432" s="4" t="s">
        <v>7</v>
      </c>
      <c r="C432" s="5" t="s">
        <v>415</v>
      </c>
      <c r="D432" s="5" t="s">
        <v>491</v>
      </c>
      <c r="E432" s="5" t="str">
        <f t="shared" si="6"/>
        <v>FE03</v>
      </c>
      <c r="F432" s="5" t="s">
        <v>492</v>
      </c>
      <c r="G432" s="95" t="s">
        <v>833</v>
      </c>
      <c r="H432" s="96" t="s">
        <v>12</v>
      </c>
      <c r="I432" s="97">
        <v>0</v>
      </c>
      <c r="J432" s="97"/>
      <c r="K432" s="121" t="str">
        <f>IF(consolidado[[#This Row],[Observações]]="","Não","Sim")</f>
        <v>Não</v>
      </c>
      <c r="L432" s="119">
        <v>15</v>
      </c>
    </row>
    <row r="433" spans="1:12" ht="43.2" x14ac:dyDescent="0.3">
      <c r="A433" s="4" t="s">
        <v>582</v>
      </c>
      <c r="B433" s="4" t="s">
        <v>7</v>
      </c>
      <c r="C433" s="5" t="s">
        <v>415</v>
      </c>
      <c r="D433" s="5" t="s">
        <v>491</v>
      </c>
      <c r="E433" s="5" t="str">
        <f t="shared" si="6"/>
        <v>FE03</v>
      </c>
      <c r="F433" s="5" t="s">
        <v>492</v>
      </c>
      <c r="G433" s="95" t="s">
        <v>834</v>
      </c>
      <c r="H433" s="96" t="s">
        <v>16</v>
      </c>
      <c r="I433" s="97">
        <v>6</v>
      </c>
      <c r="J433" s="97"/>
      <c r="K433" s="121" t="str">
        <f>IF(consolidado[[#This Row],[Observações]]="","Não","Sim")</f>
        <v>Não</v>
      </c>
      <c r="L433" s="119">
        <v>15</v>
      </c>
    </row>
    <row r="434" spans="1:12" ht="28.8" x14ac:dyDescent="0.3">
      <c r="A434" s="4" t="s">
        <v>582</v>
      </c>
      <c r="B434" s="4" t="s">
        <v>7</v>
      </c>
      <c r="C434" s="5" t="s">
        <v>415</v>
      </c>
      <c r="D434" s="5" t="s">
        <v>491</v>
      </c>
      <c r="E434" s="5" t="str">
        <f t="shared" si="6"/>
        <v>FE03</v>
      </c>
      <c r="F434" s="5" t="s">
        <v>492</v>
      </c>
      <c r="G434" s="95" t="s">
        <v>799</v>
      </c>
      <c r="H434" s="96" t="s">
        <v>18</v>
      </c>
      <c r="I434" s="97">
        <v>8</v>
      </c>
      <c r="J434" s="97"/>
      <c r="K434" s="121" t="str">
        <f>IF(consolidado[[#This Row],[Observações]]="","Não","Sim")</f>
        <v>Não</v>
      </c>
      <c r="L434" s="119">
        <v>15</v>
      </c>
    </row>
    <row r="435" spans="1:12" ht="43.2" x14ac:dyDescent="0.3">
      <c r="A435" s="4" t="s">
        <v>582</v>
      </c>
      <c r="B435" s="4" t="s">
        <v>7</v>
      </c>
      <c r="C435" s="5" t="s">
        <v>415</v>
      </c>
      <c r="D435" s="5" t="s">
        <v>491</v>
      </c>
      <c r="E435" s="5" t="str">
        <f t="shared" si="6"/>
        <v>FE03</v>
      </c>
      <c r="F435" s="5" t="s">
        <v>492</v>
      </c>
      <c r="G435" s="95" t="s">
        <v>835</v>
      </c>
      <c r="H435" s="96" t="s">
        <v>20</v>
      </c>
      <c r="I435" s="97">
        <v>10</v>
      </c>
      <c r="J435" s="97"/>
      <c r="K435" s="121" t="str">
        <f>IF(consolidado[[#This Row],[Observações]]="","Não","Sim")</f>
        <v>Não</v>
      </c>
      <c r="L435" s="119">
        <v>15</v>
      </c>
    </row>
    <row r="436" spans="1:12" ht="43.2" x14ac:dyDescent="0.3">
      <c r="A436" s="4" t="s">
        <v>582</v>
      </c>
      <c r="B436" s="4" t="s">
        <v>7</v>
      </c>
      <c r="C436" s="5" t="s">
        <v>460</v>
      </c>
      <c r="D436" s="5" t="s">
        <v>493</v>
      </c>
      <c r="E436" s="5" t="str">
        <f t="shared" si="6"/>
        <v>FE04</v>
      </c>
      <c r="F436" s="5" t="s">
        <v>494</v>
      </c>
      <c r="G436" s="95" t="s">
        <v>684</v>
      </c>
      <c r="H436" s="96" t="s">
        <v>12</v>
      </c>
      <c r="I436" s="97">
        <v>0</v>
      </c>
      <c r="J436" s="97"/>
      <c r="K436" s="121" t="str">
        <f>IF(consolidado[[#This Row],[Observações]]="","Não","Sim")</f>
        <v>Não</v>
      </c>
      <c r="L436" s="119" t="s">
        <v>871</v>
      </c>
    </row>
    <row r="437" spans="1:12" ht="43.2" x14ac:dyDescent="0.3">
      <c r="A437" s="4" t="s">
        <v>582</v>
      </c>
      <c r="B437" s="4" t="s">
        <v>7</v>
      </c>
      <c r="C437" s="5" t="s">
        <v>460</v>
      </c>
      <c r="D437" s="5" t="s">
        <v>493</v>
      </c>
      <c r="E437" s="5" t="str">
        <f t="shared" si="6"/>
        <v>FE04</v>
      </c>
      <c r="F437" s="5" t="s">
        <v>494</v>
      </c>
      <c r="G437" s="95" t="s">
        <v>685</v>
      </c>
      <c r="H437" s="96" t="s">
        <v>14</v>
      </c>
      <c r="I437" s="97">
        <v>4</v>
      </c>
      <c r="J437" s="97"/>
      <c r="K437" s="121" t="str">
        <f>IF(consolidado[[#This Row],[Observações]]="","Não","Sim")</f>
        <v>Não</v>
      </c>
      <c r="L437" s="119" t="s">
        <v>871</v>
      </c>
    </row>
    <row r="438" spans="1:12" ht="39.6" x14ac:dyDescent="0.3">
      <c r="A438" s="4" t="s">
        <v>582</v>
      </c>
      <c r="B438" s="4" t="s">
        <v>7</v>
      </c>
      <c r="C438" s="5" t="s">
        <v>460</v>
      </c>
      <c r="D438" s="5" t="s">
        <v>493</v>
      </c>
      <c r="E438" s="5" t="str">
        <f t="shared" si="6"/>
        <v>FE04</v>
      </c>
      <c r="F438" s="5" t="s">
        <v>494</v>
      </c>
      <c r="G438" s="95" t="s">
        <v>686</v>
      </c>
      <c r="H438" s="96" t="s">
        <v>16</v>
      </c>
      <c r="I438" s="97">
        <v>6</v>
      </c>
      <c r="J438" s="97"/>
      <c r="K438" s="121" t="str">
        <f>IF(consolidado[[#This Row],[Observações]]="","Não","Sim")</f>
        <v>Não</v>
      </c>
      <c r="L438" s="119" t="s">
        <v>871</v>
      </c>
    </row>
    <row r="439" spans="1:12" ht="39.6" x14ac:dyDescent="0.3">
      <c r="A439" s="4" t="s">
        <v>582</v>
      </c>
      <c r="B439" s="4" t="s">
        <v>7</v>
      </c>
      <c r="C439" s="5" t="s">
        <v>460</v>
      </c>
      <c r="D439" s="5" t="s">
        <v>493</v>
      </c>
      <c r="E439" s="5" t="str">
        <f t="shared" si="6"/>
        <v>FE04</v>
      </c>
      <c r="F439" s="5" t="s">
        <v>494</v>
      </c>
      <c r="G439" s="95" t="s">
        <v>687</v>
      </c>
      <c r="H439" s="96" t="s">
        <v>18</v>
      </c>
      <c r="I439" s="97">
        <v>8</v>
      </c>
      <c r="J439" s="97"/>
      <c r="K439" s="121" t="str">
        <f>IF(consolidado[[#This Row],[Observações]]="","Não","Sim")</f>
        <v>Não</v>
      </c>
      <c r="L439" s="119" t="s">
        <v>871</v>
      </c>
    </row>
    <row r="440" spans="1:12" ht="39.6" x14ac:dyDescent="0.3">
      <c r="A440" s="4" t="s">
        <v>582</v>
      </c>
      <c r="B440" s="4" t="s">
        <v>7</v>
      </c>
      <c r="C440" s="5" t="s">
        <v>460</v>
      </c>
      <c r="D440" s="5" t="s">
        <v>493</v>
      </c>
      <c r="E440" s="5" t="str">
        <f t="shared" si="6"/>
        <v>FE04</v>
      </c>
      <c r="F440" s="5" t="s">
        <v>494</v>
      </c>
      <c r="G440" s="95" t="s">
        <v>688</v>
      </c>
      <c r="H440" s="96" t="s">
        <v>20</v>
      </c>
      <c r="I440" s="97">
        <v>10</v>
      </c>
      <c r="J440" s="97"/>
      <c r="K440" s="121" t="str">
        <f>IF(consolidado[[#This Row],[Observações]]="","Não","Sim")</f>
        <v>Não</v>
      </c>
      <c r="L440" s="119" t="s">
        <v>871</v>
      </c>
    </row>
    <row r="441" spans="1:12" ht="28.8" x14ac:dyDescent="0.3">
      <c r="A441" s="4" t="s">
        <v>582</v>
      </c>
      <c r="B441" s="4" t="s">
        <v>7</v>
      </c>
      <c r="C441" s="5" t="s">
        <v>460</v>
      </c>
      <c r="D441" s="5" t="s">
        <v>495</v>
      </c>
      <c r="E441" s="5" t="str">
        <f t="shared" si="6"/>
        <v>FE05</v>
      </c>
      <c r="F441" s="5" t="s">
        <v>496</v>
      </c>
      <c r="G441" s="95" t="s">
        <v>836</v>
      </c>
      <c r="H441" s="96" t="s">
        <v>12</v>
      </c>
      <c r="I441" s="97">
        <v>0</v>
      </c>
      <c r="J441" s="97"/>
      <c r="K441" s="121" t="str">
        <f>IF(consolidado[[#This Row],[Observações]]="","Não","Sim")</f>
        <v>Não</v>
      </c>
      <c r="L441" s="119" t="s">
        <v>872</v>
      </c>
    </row>
    <row r="442" spans="1:12" ht="28.8" x14ac:dyDescent="0.3">
      <c r="A442" s="4" t="s">
        <v>582</v>
      </c>
      <c r="B442" s="4" t="s">
        <v>7</v>
      </c>
      <c r="C442" s="5" t="s">
        <v>460</v>
      </c>
      <c r="D442" s="5" t="s">
        <v>495</v>
      </c>
      <c r="E442" s="5" t="str">
        <f t="shared" si="6"/>
        <v>FE05</v>
      </c>
      <c r="F442" s="5" t="s">
        <v>496</v>
      </c>
      <c r="G442" s="95" t="s">
        <v>837</v>
      </c>
      <c r="H442" s="96" t="s">
        <v>16</v>
      </c>
      <c r="I442" s="97">
        <v>6</v>
      </c>
      <c r="J442" s="97"/>
      <c r="K442" s="121" t="str">
        <f>IF(consolidado[[#This Row],[Observações]]="","Não","Sim")</f>
        <v>Não</v>
      </c>
      <c r="L442" s="119" t="s">
        <v>872</v>
      </c>
    </row>
    <row r="443" spans="1:12" ht="28.8" x14ac:dyDescent="0.3">
      <c r="A443" s="4" t="s">
        <v>582</v>
      </c>
      <c r="B443" s="4" t="s">
        <v>7</v>
      </c>
      <c r="C443" s="5" t="s">
        <v>460</v>
      </c>
      <c r="D443" s="5" t="s">
        <v>495</v>
      </c>
      <c r="E443" s="5" t="str">
        <f t="shared" si="6"/>
        <v>FE05</v>
      </c>
      <c r="F443" s="5" t="s">
        <v>496</v>
      </c>
      <c r="G443" s="95" t="s">
        <v>838</v>
      </c>
      <c r="H443" s="96" t="s">
        <v>18</v>
      </c>
      <c r="I443" s="97">
        <v>8</v>
      </c>
      <c r="J443" s="97"/>
      <c r="K443" s="121" t="str">
        <f>IF(consolidado[[#This Row],[Observações]]="","Não","Sim")</f>
        <v>Não</v>
      </c>
      <c r="L443" s="119" t="s">
        <v>872</v>
      </c>
    </row>
    <row r="444" spans="1:12" ht="43.2" x14ac:dyDescent="0.3">
      <c r="A444" s="4" t="s">
        <v>582</v>
      </c>
      <c r="B444" s="4" t="s">
        <v>7</v>
      </c>
      <c r="C444" s="5" t="s">
        <v>460</v>
      </c>
      <c r="D444" s="5" t="s">
        <v>495</v>
      </c>
      <c r="E444" s="5" t="str">
        <f t="shared" si="6"/>
        <v>FE05</v>
      </c>
      <c r="F444" s="5" t="s">
        <v>496</v>
      </c>
      <c r="G444" s="95" t="s">
        <v>839</v>
      </c>
      <c r="H444" s="96" t="s">
        <v>20</v>
      </c>
      <c r="I444" s="97">
        <v>10</v>
      </c>
      <c r="J444" s="97"/>
      <c r="K444" s="121" t="str">
        <f>IF(consolidado[[#This Row],[Observações]]="","Não","Sim")</f>
        <v>Não</v>
      </c>
      <c r="L444" s="119" t="s">
        <v>872</v>
      </c>
    </row>
    <row r="445" spans="1:12" ht="28.8" x14ac:dyDescent="0.3">
      <c r="A445" s="4" t="s">
        <v>582</v>
      </c>
      <c r="B445" s="4" t="s">
        <v>100</v>
      </c>
      <c r="C445" s="5" t="s">
        <v>472</v>
      </c>
      <c r="D445" s="5" t="s">
        <v>497</v>
      </c>
      <c r="E445" s="5" t="str">
        <f t="shared" si="6"/>
        <v>FS01</v>
      </c>
      <c r="F445" s="5" t="s">
        <v>474</v>
      </c>
      <c r="G445" s="95" t="s">
        <v>808</v>
      </c>
      <c r="H445" s="96" t="s">
        <v>12</v>
      </c>
      <c r="I445" s="97">
        <v>0</v>
      </c>
      <c r="J445" s="97"/>
      <c r="K445" s="121" t="str">
        <f>IF(consolidado[[#This Row],[Observações]]="","Não","Sim")</f>
        <v>Não</v>
      </c>
      <c r="L445" s="119" t="s">
        <v>873</v>
      </c>
    </row>
    <row r="446" spans="1:12" ht="28.8" x14ac:dyDescent="0.3">
      <c r="A446" s="4" t="s">
        <v>582</v>
      </c>
      <c r="B446" s="4" t="s">
        <v>100</v>
      </c>
      <c r="C446" s="5" t="s">
        <v>472</v>
      </c>
      <c r="D446" s="5" t="s">
        <v>497</v>
      </c>
      <c r="E446" s="5" t="str">
        <f t="shared" si="6"/>
        <v>FS01</v>
      </c>
      <c r="F446" s="5" t="s">
        <v>474</v>
      </c>
      <c r="G446" s="95" t="s">
        <v>809</v>
      </c>
      <c r="H446" s="96" t="s">
        <v>16</v>
      </c>
      <c r="I446" s="97">
        <v>6</v>
      </c>
      <c r="J446" s="97"/>
      <c r="K446" s="121" t="str">
        <f>IF(consolidado[[#This Row],[Observações]]="","Não","Sim")</f>
        <v>Não</v>
      </c>
      <c r="L446" s="119" t="s">
        <v>873</v>
      </c>
    </row>
    <row r="447" spans="1:12" ht="28.8" x14ac:dyDescent="0.3">
      <c r="A447" s="4" t="s">
        <v>582</v>
      </c>
      <c r="B447" s="4" t="s">
        <v>100</v>
      </c>
      <c r="C447" s="5" t="s">
        <v>472</v>
      </c>
      <c r="D447" s="5" t="s">
        <v>497</v>
      </c>
      <c r="E447" s="5" t="str">
        <f t="shared" si="6"/>
        <v>FS01</v>
      </c>
      <c r="F447" s="5" t="s">
        <v>474</v>
      </c>
      <c r="G447" s="95" t="s">
        <v>810</v>
      </c>
      <c r="H447" s="96" t="s">
        <v>18</v>
      </c>
      <c r="I447" s="97">
        <v>8</v>
      </c>
      <c r="J447" s="97"/>
      <c r="K447" s="121" t="str">
        <f>IF(consolidado[[#This Row],[Observações]]="","Não","Sim")</f>
        <v>Não</v>
      </c>
      <c r="L447" s="119" t="s">
        <v>873</v>
      </c>
    </row>
    <row r="448" spans="1:12" ht="43.2" x14ac:dyDescent="0.3">
      <c r="A448" s="4" t="s">
        <v>582</v>
      </c>
      <c r="B448" s="4" t="s">
        <v>100</v>
      </c>
      <c r="C448" s="5" t="s">
        <v>472</v>
      </c>
      <c r="D448" s="5" t="s">
        <v>497</v>
      </c>
      <c r="E448" s="5" t="str">
        <f t="shared" si="6"/>
        <v>FS01</v>
      </c>
      <c r="F448" s="5" t="s">
        <v>474</v>
      </c>
      <c r="G448" s="95" t="s">
        <v>811</v>
      </c>
      <c r="H448" s="96" t="s">
        <v>20</v>
      </c>
      <c r="I448" s="97">
        <v>10</v>
      </c>
      <c r="J448" s="97"/>
      <c r="K448" s="121" t="str">
        <f>IF(consolidado[[#This Row],[Observações]]="","Não","Sim")</f>
        <v>Não</v>
      </c>
      <c r="L448" s="119" t="s">
        <v>873</v>
      </c>
    </row>
    <row r="449" spans="1:12" ht="28.8" x14ac:dyDescent="0.3">
      <c r="A449" s="4" t="s">
        <v>582</v>
      </c>
      <c r="B449" s="4" t="s">
        <v>100</v>
      </c>
      <c r="C449" s="5" t="s">
        <v>472</v>
      </c>
      <c r="D449" s="5" t="s">
        <v>498</v>
      </c>
      <c r="E449" s="5" t="str">
        <f t="shared" si="6"/>
        <v>FS02</v>
      </c>
      <c r="F449" s="5" t="s">
        <v>499</v>
      </c>
      <c r="G449" s="95" t="s">
        <v>840</v>
      </c>
      <c r="H449" s="96" t="s">
        <v>12</v>
      </c>
      <c r="I449" s="97">
        <v>0</v>
      </c>
      <c r="J449" s="97"/>
      <c r="K449" s="121" t="str">
        <f>IF(consolidado[[#This Row],[Observações]]="","Não","Sim")</f>
        <v>Não</v>
      </c>
      <c r="L449" s="119" t="s">
        <v>607</v>
      </c>
    </row>
    <row r="450" spans="1:12" ht="28.8" x14ac:dyDescent="0.3">
      <c r="A450" s="4" t="s">
        <v>582</v>
      </c>
      <c r="B450" s="4" t="s">
        <v>100</v>
      </c>
      <c r="C450" s="5" t="s">
        <v>472</v>
      </c>
      <c r="D450" s="5" t="s">
        <v>498</v>
      </c>
      <c r="E450" s="5" t="str">
        <f t="shared" si="6"/>
        <v>FS02</v>
      </c>
      <c r="F450" s="5" t="s">
        <v>499</v>
      </c>
      <c r="G450" s="95" t="s">
        <v>841</v>
      </c>
      <c r="H450" s="96" t="s">
        <v>18</v>
      </c>
      <c r="I450" s="97">
        <v>8</v>
      </c>
      <c r="J450" s="97"/>
      <c r="K450" s="121" t="str">
        <f>IF(consolidado[[#This Row],[Observações]]="","Não","Sim")</f>
        <v>Não</v>
      </c>
      <c r="L450" s="119" t="s">
        <v>607</v>
      </c>
    </row>
    <row r="451" spans="1:12" ht="28.8" x14ac:dyDescent="0.3">
      <c r="A451" s="4" t="s">
        <v>582</v>
      </c>
      <c r="B451" s="4" t="s">
        <v>100</v>
      </c>
      <c r="C451" s="5" t="s">
        <v>472</v>
      </c>
      <c r="D451" s="5" t="s">
        <v>498</v>
      </c>
      <c r="E451" s="5" t="str">
        <f t="shared" ref="E451:E514" si="7">SUBSTITUTE(D451," ","")</f>
        <v>FS02</v>
      </c>
      <c r="F451" s="5" t="s">
        <v>499</v>
      </c>
      <c r="G451" s="95" t="s">
        <v>842</v>
      </c>
      <c r="H451" s="96" t="s">
        <v>20</v>
      </c>
      <c r="I451" s="97">
        <v>10</v>
      </c>
      <c r="J451" s="97"/>
      <c r="K451" s="121" t="str">
        <f>IF(consolidado[[#This Row],[Observações]]="","Não","Sim")</f>
        <v>Não</v>
      </c>
      <c r="L451" s="119" t="s">
        <v>607</v>
      </c>
    </row>
    <row r="452" spans="1:12" ht="28.8" x14ac:dyDescent="0.3">
      <c r="A452" s="4" t="s">
        <v>582</v>
      </c>
      <c r="B452" s="4" t="s">
        <v>100</v>
      </c>
      <c r="C452" s="5" t="s">
        <v>472</v>
      </c>
      <c r="D452" s="5" t="s">
        <v>500</v>
      </c>
      <c r="E452" s="5" t="str">
        <f t="shared" si="7"/>
        <v>FS03</v>
      </c>
      <c r="F452" s="5" t="s">
        <v>479</v>
      </c>
      <c r="G452" s="95" t="s">
        <v>815</v>
      </c>
      <c r="H452" s="96" t="s">
        <v>12</v>
      </c>
      <c r="I452" s="97">
        <v>0</v>
      </c>
      <c r="J452" s="97"/>
      <c r="K452" s="121" t="str">
        <f>IF(consolidado[[#This Row],[Observações]]="","Não","Sim")</f>
        <v>Não</v>
      </c>
      <c r="L452" s="119" t="s">
        <v>875</v>
      </c>
    </row>
    <row r="453" spans="1:12" ht="57.6" x14ac:dyDescent="0.3">
      <c r="A453" s="4" t="s">
        <v>582</v>
      </c>
      <c r="B453" s="4" t="s">
        <v>100</v>
      </c>
      <c r="C453" s="5" t="s">
        <v>472</v>
      </c>
      <c r="D453" s="5" t="s">
        <v>500</v>
      </c>
      <c r="E453" s="5" t="str">
        <f t="shared" si="7"/>
        <v>FS03</v>
      </c>
      <c r="F453" s="5" t="s">
        <v>479</v>
      </c>
      <c r="G453" s="95" t="s">
        <v>843</v>
      </c>
      <c r="H453" s="96" t="s">
        <v>18</v>
      </c>
      <c r="I453" s="97">
        <v>8</v>
      </c>
      <c r="J453" s="97"/>
      <c r="K453" s="121" t="str">
        <f>IF(consolidado[[#This Row],[Observações]]="","Não","Sim")</f>
        <v>Não</v>
      </c>
      <c r="L453" s="119" t="s">
        <v>875</v>
      </c>
    </row>
    <row r="454" spans="1:12" ht="43.2" x14ac:dyDescent="0.3">
      <c r="A454" s="4" t="s">
        <v>582</v>
      </c>
      <c r="B454" s="4" t="s">
        <v>100</v>
      </c>
      <c r="C454" s="5" t="s">
        <v>472</v>
      </c>
      <c r="D454" s="5" t="s">
        <v>500</v>
      </c>
      <c r="E454" s="5" t="str">
        <f t="shared" si="7"/>
        <v>FS03</v>
      </c>
      <c r="F454" s="5" t="s">
        <v>479</v>
      </c>
      <c r="G454" s="95" t="s">
        <v>844</v>
      </c>
      <c r="H454" s="96" t="s">
        <v>20</v>
      </c>
      <c r="I454" s="97">
        <v>10</v>
      </c>
      <c r="J454" s="97"/>
      <c r="K454" s="121" t="str">
        <f>IF(consolidado[[#This Row],[Observações]]="","Não","Sim")</f>
        <v>Não</v>
      </c>
      <c r="L454" s="119" t="s">
        <v>875</v>
      </c>
    </row>
    <row r="455" spans="1:12" ht="43.2" x14ac:dyDescent="0.3">
      <c r="A455" s="4" t="s">
        <v>582</v>
      </c>
      <c r="B455" s="4" t="s">
        <v>100</v>
      </c>
      <c r="C455" s="5" t="s">
        <v>501</v>
      </c>
      <c r="D455" s="5" t="s">
        <v>502</v>
      </c>
      <c r="E455" s="5" t="str">
        <f t="shared" si="7"/>
        <v>FS04</v>
      </c>
      <c r="F455" s="5" t="s">
        <v>503</v>
      </c>
      <c r="G455" s="95" t="s">
        <v>664</v>
      </c>
      <c r="H455" s="96" t="s">
        <v>12</v>
      </c>
      <c r="I455" s="97">
        <v>0</v>
      </c>
      <c r="J455" s="97"/>
      <c r="K455" s="121" t="str">
        <f>IF(consolidado[[#This Row],[Observações]]="","Não","Sim")</f>
        <v>Não</v>
      </c>
      <c r="L455" s="119" t="s">
        <v>870</v>
      </c>
    </row>
    <row r="456" spans="1:12" ht="43.2" x14ac:dyDescent="0.3">
      <c r="A456" s="4" t="s">
        <v>582</v>
      </c>
      <c r="B456" s="4" t="s">
        <v>100</v>
      </c>
      <c r="C456" s="5" t="s">
        <v>501</v>
      </c>
      <c r="D456" s="5" t="s">
        <v>502</v>
      </c>
      <c r="E456" s="5" t="str">
        <f t="shared" si="7"/>
        <v>FS04</v>
      </c>
      <c r="F456" s="5" t="s">
        <v>503</v>
      </c>
      <c r="G456" s="95" t="s">
        <v>665</v>
      </c>
      <c r="H456" s="96" t="s">
        <v>16</v>
      </c>
      <c r="I456" s="97">
        <v>6</v>
      </c>
      <c r="J456" s="97"/>
      <c r="K456" s="121" t="str">
        <f>IF(consolidado[[#This Row],[Observações]]="","Não","Sim")</f>
        <v>Não</v>
      </c>
      <c r="L456" s="119" t="s">
        <v>870</v>
      </c>
    </row>
    <row r="457" spans="1:12" ht="28.8" x14ac:dyDescent="0.3">
      <c r="A457" s="4" t="s">
        <v>582</v>
      </c>
      <c r="B457" s="4" t="s">
        <v>100</v>
      </c>
      <c r="C457" s="5" t="s">
        <v>501</v>
      </c>
      <c r="D457" s="5" t="s">
        <v>502</v>
      </c>
      <c r="E457" s="5" t="str">
        <f t="shared" si="7"/>
        <v>FS04</v>
      </c>
      <c r="F457" s="5" t="s">
        <v>503</v>
      </c>
      <c r="G457" s="95" t="s">
        <v>666</v>
      </c>
      <c r="H457" s="96" t="s">
        <v>18</v>
      </c>
      <c r="I457" s="97">
        <v>8</v>
      </c>
      <c r="J457" s="97"/>
      <c r="K457" s="121" t="str">
        <f>IF(consolidado[[#This Row],[Observações]]="","Não","Sim")</f>
        <v>Não</v>
      </c>
      <c r="L457" s="119" t="s">
        <v>870</v>
      </c>
    </row>
    <row r="458" spans="1:12" ht="28.8" x14ac:dyDescent="0.3">
      <c r="A458" s="4" t="s">
        <v>582</v>
      </c>
      <c r="B458" s="4" t="s">
        <v>100</v>
      </c>
      <c r="C458" s="5" t="s">
        <v>501</v>
      </c>
      <c r="D458" s="5" t="s">
        <v>502</v>
      </c>
      <c r="E458" s="5" t="str">
        <f t="shared" si="7"/>
        <v>FS04</v>
      </c>
      <c r="F458" s="5" t="s">
        <v>503</v>
      </c>
      <c r="G458" s="95" t="s">
        <v>667</v>
      </c>
      <c r="H458" s="96" t="s">
        <v>20</v>
      </c>
      <c r="I458" s="97">
        <v>10</v>
      </c>
      <c r="J458" s="97"/>
      <c r="K458" s="121" t="str">
        <f>IF(consolidado[[#This Row],[Observações]]="","Não","Sim")</f>
        <v>Não</v>
      </c>
      <c r="L458" s="119" t="s">
        <v>870</v>
      </c>
    </row>
    <row r="459" spans="1:12" ht="28.8" x14ac:dyDescent="0.3">
      <c r="A459" s="4" t="s">
        <v>582</v>
      </c>
      <c r="B459" s="4" t="s">
        <v>239</v>
      </c>
      <c r="C459" s="5" t="s">
        <v>504</v>
      </c>
      <c r="D459" s="5" t="s">
        <v>505</v>
      </c>
      <c r="E459" s="5" t="str">
        <f t="shared" si="7"/>
        <v>FG01</v>
      </c>
      <c r="F459" s="5" t="s">
        <v>506</v>
      </c>
      <c r="G459" s="95" t="s">
        <v>845</v>
      </c>
      <c r="H459" s="96" t="s">
        <v>12</v>
      </c>
      <c r="I459" s="97">
        <v>0</v>
      </c>
      <c r="J459" s="97"/>
      <c r="K459" s="121" t="str">
        <f>IF(consolidado[[#This Row],[Observações]]="","Não","Sim")</f>
        <v>Não</v>
      </c>
      <c r="L459" s="119">
        <v>16</v>
      </c>
    </row>
    <row r="460" spans="1:12" ht="26.4" x14ac:dyDescent="0.3">
      <c r="A460" s="4" t="s">
        <v>582</v>
      </c>
      <c r="B460" s="4" t="s">
        <v>239</v>
      </c>
      <c r="C460" s="5" t="s">
        <v>504</v>
      </c>
      <c r="D460" s="5" t="s">
        <v>505</v>
      </c>
      <c r="E460" s="5" t="str">
        <f t="shared" si="7"/>
        <v>FG01</v>
      </c>
      <c r="F460" s="5" t="s">
        <v>506</v>
      </c>
      <c r="G460" s="95" t="s">
        <v>846</v>
      </c>
      <c r="H460" s="106" t="s">
        <v>18</v>
      </c>
      <c r="I460" s="107">
        <v>0</v>
      </c>
      <c r="J460" s="107" t="s">
        <v>534</v>
      </c>
      <c r="K460" s="121" t="str">
        <f>IF(consolidado[[#This Row],[Observações]]="","Não","Sim")</f>
        <v>Sim</v>
      </c>
      <c r="L460" s="119">
        <v>16</v>
      </c>
    </row>
    <row r="461" spans="1:12" ht="28.8" x14ac:dyDescent="0.3">
      <c r="A461" s="4" t="s">
        <v>582</v>
      </c>
      <c r="B461" s="4" t="s">
        <v>239</v>
      </c>
      <c r="C461" s="5" t="s">
        <v>504</v>
      </c>
      <c r="D461" s="5" t="s">
        <v>505</v>
      </c>
      <c r="E461" s="5" t="str">
        <f t="shared" si="7"/>
        <v>FG01</v>
      </c>
      <c r="F461" s="5" t="s">
        <v>506</v>
      </c>
      <c r="G461" s="95" t="s">
        <v>15</v>
      </c>
      <c r="H461" s="96" t="s">
        <v>20</v>
      </c>
      <c r="I461" s="97">
        <v>10</v>
      </c>
      <c r="J461" s="97"/>
      <c r="K461" s="121" t="str">
        <f>IF(consolidado[[#This Row],[Observações]]="","Não","Sim")</f>
        <v>Não</v>
      </c>
      <c r="L461" s="119">
        <v>16</v>
      </c>
    </row>
    <row r="462" spans="1:12" ht="28.8" x14ac:dyDescent="0.3">
      <c r="A462" s="32" t="s">
        <v>583</v>
      </c>
      <c r="B462" s="32" t="s">
        <v>7</v>
      </c>
      <c r="C462" s="34" t="s">
        <v>486</v>
      </c>
      <c r="D462" s="34" t="s">
        <v>515</v>
      </c>
      <c r="E462" s="5" t="str">
        <f t="shared" si="7"/>
        <v>G1E01</v>
      </c>
      <c r="F462" s="34" t="s">
        <v>516</v>
      </c>
      <c r="G462" s="95" t="s">
        <v>847</v>
      </c>
      <c r="H462" s="96" t="s">
        <v>12</v>
      </c>
      <c r="I462" s="97">
        <v>0</v>
      </c>
      <c r="J462" s="97"/>
      <c r="K462" s="121" t="str">
        <f>IF(consolidado[[#This Row],[Observações]]="","Não","Sim")</f>
        <v>Não</v>
      </c>
      <c r="L462" s="119">
        <v>15</v>
      </c>
    </row>
    <row r="463" spans="1:12" ht="28.8" x14ac:dyDescent="0.3">
      <c r="A463" s="32" t="s">
        <v>583</v>
      </c>
      <c r="B463" s="32" t="s">
        <v>7</v>
      </c>
      <c r="C463" s="34" t="s">
        <v>486</v>
      </c>
      <c r="D463" s="34" t="s">
        <v>515</v>
      </c>
      <c r="E463" s="5" t="str">
        <f t="shared" si="7"/>
        <v>G1E01</v>
      </c>
      <c r="F463" s="34" t="s">
        <v>516</v>
      </c>
      <c r="G463" s="95" t="s">
        <v>848</v>
      </c>
      <c r="H463" s="96" t="s">
        <v>14</v>
      </c>
      <c r="I463" s="97">
        <v>4</v>
      </c>
      <c r="J463" s="97"/>
      <c r="K463" s="121" t="str">
        <f>IF(consolidado[[#This Row],[Observações]]="","Não","Sim")</f>
        <v>Não</v>
      </c>
      <c r="L463" s="119">
        <v>15</v>
      </c>
    </row>
    <row r="464" spans="1:12" ht="28.8" x14ac:dyDescent="0.3">
      <c r="A464" s="32" t="s">
        <v>583</v>
      </c>
      <c r="B464" s="32" t="s">
        <v>7</v>
      </c>
      <c r="C464" s="34" t="s">
        <v>486</v>
      </c>
      <c r="D464" s="34" t="s">
        <v>515</v>
      </c>
      <c r="E464" s="5" t="str">
        <f t="shared" si="7"/>
        <v>G1E01</v>
      </c>
      <c r="F464" s="34" t="s">
        <v>516</v>
      </c>
      <c r="G464" s="95" t="s">
        <v>849</v>
      </c>
      <c r="H464" s="96" t="s">
        <v>16</v>
      </c>
      <c r="I464" s="97">
        <v>6</v>
      </c>
      <c r="J464" s="97"/>
      <c r="K464" s="121" t="str">
        <f>IF(consolidado[[#This Row],[Observações]]="","Não","Sim")</f>
        <v>Não</v>
      </c>
      <c r="L464" s="119">
        <v>15</v>
      </c>
    </row>
    <row r="465" spans="1:12" ht="28.8" x14ac:dyDescent="0.3">
      <c r="A465" s="32" t="s">
        <v>583</v>
      </c>
      <c r="B465" s="32" t="s">
        <v>7</v>
      </c>
      <c r="C465" s="34" t="s">
        <v>486</v>
      </c>
      <c r="D465" s="34" t="s">
        <v>515</v>
      </c>
      <c r="E465" s="5" t="str">
        <f t="shared" si="7"/>
        <v>G1E01</v>
      </c>
      <c r="F465" s="34" t="s">
        <v>516</v>
      </c>
      <c r="G465" s="95" t="s">
        <v>850</v>
      </c>
      <c r="H465" s="96" t="s">
        <v>18</v>
      </c>
      <c r="I465" s="97">
        <v>8</v>
      </c>
      <c r="J465" s="97"/>
      <c r="K465" s="121" t="str">
        <f>IF(consolidado[[#This Row],[Observações]]="","Não","Sim")</f>
        <v>Não</v>
      </c>
      <c r="L465" s="119">
        <v>15</v>
      </c>
    </row>
    <row r="466" spans="1:12" ht="28.8" x14ac:dyDescent="0.3">
      <c r="A466" s="32" t="s">
        <v>583</v>
      </c>
      <c r="B466" s="32" t="s">
        <v>7</v>
      </c>
      <c r="C466" s="34" t="s">
        <v>486</v>
      </c>
      <c r="D466" s="34" t="s">
        <v>515</v>
      </c>
      <c r="E466" s="5" t="str">
        <f t="shared" si="7"/>
        <v>G1E01</v>
      </c>
      <c r="F466" s="34" t="s">
        <v>516</v>
      </c>
      <c r="G466" s="95" t="s">
        <v>851</v>
      </c>
      <c r="H466" s="96" t="s">
        <v>20</v>
      </c>
      <c r="I466" s="97">
        <v>10</v>
      </c>
      <c r="J466" s="97"/>
      <c r="K466" s="121" t="str">
        <f>IF(consolidado[[#This Row],[Observações]]="","Não","Sim")</f>
        <v>Não</v>
      </c>
      <c r="L466" s="119">
        <v>15</v>
      </c>
    </row>
    <row r="467" spans="1:12" ht="26.4" x14ac:dyDescent="0.3">
      <c r="A467" s="32" t="s">
        <v>583</v>
      </c>
      <c r="B467" s="32" t="s">
        <v>7</v>
      </c>
      <c r="C467" s="34" t="s">
        <v>486</v>
      </c>
      <c r="D467" s="34" t="s">
        <v>517</v>
      </c>
      <c r="E467" s="5" t="str">
        <f t="shared" si="7"/>
        <v>G1E02</v>
      </c>
      <c r="F467" s="34" t="s">
        <v>518</v>
      </c>
      <c r="G467" s="95" t="s">
        <v>852</v>
      </c>
      <c r="H467" s="96" t="s">
        <v>12</v>
      </c>
      <c r="I467" s="97">
        <v>0</v>
      </c>
      <c r="J467" s="97"/>
      <c r="K467" s="121" t="str">
        <f>IF(consolidado[[#This Row],[Observações]]="","Não","Sim")</f>
        <v>Não</v>
      </c>
      <c r="L467" s="119">
        <v>15</v>
      </c>
    </row>
    <row r="468" spans="1:12" ht="28.8" x14ac:dyDescent="0.3">
      <c r="A468" s="32" t="s">
        <v>583</v>
      </c>
      <c r="B468" s="32" t="s">
        <v>7</v>
      </c>
      <c r="C468" s="34" t="s">
        <v>486</v>
      </c>
      <c r="D468" s="34" t="s">
        <v>517</v>
      </c>
      <c r="E468" s="5" t="str">
        <f t="shared" si="7"/>
        <v>G1E02</v>
      </c>
      <c r="F468" s="34" t="s">
        <v>518</v>
      </c>
      <c r="G468" s="95" t="s">
        <v>853</v>
      </c>
      <c r="H468" s="96" t="s">
        <v>16</v>
      </c>
      <c r="I468" s="97">
        <v>6</v>
      </c>
      <c r="J468" s="97"/>
      <c r="K468" s="121" t="str">
        <f>IF(consolidado[[#This Row],[Observações]]="","Não","Sim")</f>
        <v>Não</v>
      </c>
      <c r="L468" s="119">
        <v>15</v>
      </c>
    </row>
    <row r="469" spans="1:12" ht="28.8" x14ac:dyDescent="0.3">
      <c r="A469" s="32" t="s">
        <v>583</v>
      </c>
      <c r="B469" s="32" t="s">
        <v>7</v>
      </c>
      <c r="C469" s="34" t="s">
        <v>486</v>
      </c>
      <c r="D469" s="34" t="s">
        <v>517</v>
      </c>
      <c r="E469" s="5" t="str">
        <f t="shared" si="7"/>
        <v>G1E02</v>
      </c>
      <c r="F469" s="34" t="s">
        <v>518</v>
      </c>
      <c r="G469" s="95" t="s">
        <v>854</v>
      </c>
      <c r="H469" s="96" t="s">
        <v>18</v>
      </c>
      <c r="I469" s="97">
        <v>8</v>
      </c>
      <c r="J469" s="97"/>
      <c r="K469" s="121" t="str">
        <f>IF(consolidado[[#This Row],[Observações]]="","Não","Sim")</f>
        <v>Não</v>
      </c>
      <c r="L469" s="119">
        <v>15</v>
      </c>
    </row>
    <row r="470" spans="1:12" ht="28.8" x14ac:dyDescent="0.3">
      <c r="A470" s="32" t="s">
        <v>583</v>
      </c>
      <c r="B470" s="32" t="s">
        <v>7</v>
      </c>
      <c r="C470" s="34" t="s">
        <v>486</v>
      </c>
      <c r="D470" s="34" t="s">
        <v>517</v>
      </c>
      <c r="E470" s="5" t="str">
        <f t="shared" si="7"/>
        <v>G1E02</v>
      </c>
      <c r="F470" s="34" t="s">
        <v>518</v>
      </c>
      <c r="G470" s="95" t="s">
        <v>855</v>
      </c>
      <c r="H470" s="96" t="s">
        <v>20</v>
      </c>
      <c r="I470" s="97">
        <v>10</v>
      </c>
      <c r="J470" s="97"/>
      <c r="K470" s="121" t="str">
        <f>IF(consolidado[[#This Row],[Observações]]="","Não","Sim")</f>
        <v>Não</v>
      </c>
      <c r="L470" s="119">
        <v>15</v>
      </c>
    </row>
    <row r="471" spans="1:12" ht="43.2" x14ac:dyDescent="0.3">
      <c r="A471" s="32" t="s">
        <v>583</v>
      </c>
      <c r="B471" s="32" t="s">
        <v>7</v>
      </c>
      <c r="C471" s="34" t="s">
        <v>415</v>
      </c>
      <c r="D471" s="34" t="s">
        <v>519</v>
      </c>
      <c r="E471" s="5" t="str">
        <f t="shared" si="7"/>
        <v>G1E03</v>
      </c>
      <c r="F471" s="34" t="s">
        <v>492</v>
      </c>
      <c r="G471" s="95" t="s">
        <v>833</v>
      </c>
      <c r="H471" s="96" t="s">
        <v>12</v>
      </c>
      <c r="I471" s="97">
        <v>0</v>
      </c>
      <c r="J471" s="97"/>
      <c r="K471" s="121" t="str">
        <f>IF(consolidado[[#This Row],[Observações]]="","Não","Sim")</f>
        <v>Não</v>
      </c>
      <c r="L471" s="119">
        <v>15</v>
      </c>
    </row>
    <row r="472" spans="1:12" ht="43.2" x14ac:dyDescent="0.3">
      <c r="A472" s="32" t="s">
        <v>583</v>
      </c>
      <c r="B472" s="32" t="s">
        <v>7</v>
      </c>
      <c r="C472" s="34" t="s">
        <v>415</v>
      </c>
      <c r="D472" s="34" t="s">
        <v>519</v>
      </c>
      <c r="E472" s="5" t="str">
        <f t="shared" si="7"/>
        <v>G1E03</v>
      </c>
      <c r="F472" s="34" t="s">
        <v>492</v>
      </c>
      <c r="G472" s="95" t="s">
        <v>834</v>
      </c>
      <c r="H472" s="96" t="s">
        <v>16</v>
      </c>
      <c r="I472" s="97">
        <v>6</v>
      </c>
      <c r="J472" s="97"/>
      <c r="K472" s="121" t="str">
        <f>IF(consolidado[[#This Row],[Observações]]="","Não","Sim")</f>
        <v>Não</v>
      </c>
      <c r="L472" s="119">
        <v>15</v>
      </c>
    </row>
    <row r="473" spans="1:12" ht="28.8" x14ac:dyDescent="0.3">
      <c r="A473" s="32" t="s">
        <v>583</v>
      </c>
      <c r="B473" s="32" t="s">
        <v>7</v>
      </c>
      <c r="C473" s="34" t="s">
        <v>415</v>
      </c>
      <c r="D473" s="34" t="s">
        <v>519</v>
      </c>
      <c r="E473" s="5" t="str">
        <f t="shared" si="7"/>
        <v>G1E03</v>
      </c>
      <c r="F473" s="34" t="s">
        <v>492</v>
      </c>
      <c r="G473" s="95" t="s">
        <v>799</v>
      </c>
      <c r="H473" s="96" t="s">
        <v>18</v>
      </c>
      <c r="I473" s="97">
        <v>8</v>
      </c>
      <c r="J473" s="97"/>
      <c r="K473" s="121" t="str">
        <f>IF(consolidado[[#This Row],[Observações]]="","Não","Sim")</f>
        <v>Não</v>
      </c>
      <c r="L473" s="119">
        <v>15</v>
      </c>
    </row>
    <row r="474" spans="1:12" ht="43.2" x14ac:dyDescent="0.3">
      <c r="A474" s="32" t="s">
        <v>583</v>
      </c>
      <c r="B474" s="32" t="s">
        <v>7</v>
      </c>
      <c r="C474" s="34" t="s">
        <v>415</v>
      </c>
      <c r="D474" s="34" t="s">
        <v>519</v>
      </c>
      <c r="E474" s="5" t="str">
        <f t="shared" si="7"/>
        <v>G1E03</v>
      </c>
      <c r="F474" s="34" t="s">
        <v>492</v>
      </c>
      <c r="G474" s="95" t="s">
        <v>835</v>
      </c>
      <c r="H474" s="96" t="s">
        <v>20</v>
      </c>
      <c r="I474" s="97">
        <v>10</v>
      </c>
      <c r="J474" s="97"/>
      <c r="K474" s="121" t="str">
        <f>IF(consolidado[[#This Row],[Observações]]="","Não","Sim")</f>
        <v>Não</v>
      </c>
      <c r="L474" s="119">
        <v>15</v>
      </c>
    </row>
    <row r="475" spans="1:12" ht="43.2" x14ac:dyDescent="0.3">
      <c r="A475" s="32" t="s">
        <v>583</v>
      </c>
      <c r="B475" s="32" t="s">
        <v>7</v>
      </c>
      <c r="C475" s="34" t="s">
        <v>460</v>
      </c>
      <c r="D475" s="34" t="s">
        <v>520</v>
      </c>
      <c r="E475" s="5" t="str">
        <f t="shared" si="7"/>
        <v>G1E04</v>
      </c>
      <c r="F475" s="34" t="s">
        <v>494</v>
      </c>
      <c r="G475" s="95" t="s">
        <v>684</v>
      </c>
      <c r="H475" s="96" t="s">
        <v>12</v>
      </c>
      <c r="I475" s="97">
        <v>0</v>
      </c>
      <c r="J475" s="97"/>
      <c r="K475" s="121" t="str">
        <f>IF(consolidado[[#This Row],[Observações]]="","Não","Sim")</f>
        <v>Não</v>
      </c>
      <c r="L475" s="119" t="s">
        <v>871</v>
      </c>
    </row>
    <row r="476" spans="1:12" ht="43.2" x14ac:dyDescent="0.3">
      <c r="A476" s="32" t="s">
        <v>583</v>
      </c>
      <c r="B476" s="32" t="s">
        <v>7</v>
      </c>
      <c r="C476" s="34" t="s">
        <v>460</v>
      </c>
      <c r="D476" s="34" t="s">
        <v>520</v>
      </c>
      <c r="E476" s="5" t="str">
        <f t="shared" si="7"/>
        <v>G1E04</v>
      </c>
      <c r="F476" s="34" t="s">
        <v>494</v>
      </c>
      <c r="G476" s="95" t="s">
        <v>685</v>
      </c>
      <c r="H476" s="96" t="s">
        <v>14</v>
      </c>
      <c r="I476" s="97">
        <v>4</v>
      </c>
      <c r="J476" s="97"/>
      <c r="K476" s="121" t="str">
        <f>IF(consolidado[[#This Row],[Observações]]="","Não","Sim")</f>
        <v>Não</v>
      </c>
      <c r="L476" s="119" t="s">
        <v>871</v>
      </c>
    </row>
    <row r="477" spans="1:12" ht="39.6" x14ac:dyDescent="0.3">
      <c r="A477" s="32" t="s">
        <v>583</v>
      </c>
      <c r="B477" s="32" t="s">
        <v>7</v>
      </c>
      <c r="C477" s="34" t="s">
        <v>460</v>
      </c>
      <c r="D477" s="34" t="s">
        <v>520</v>
      </c>
      <c r="E477" s="5" t="str">
        <f t="shared" si="7"/>
        <v>G1E04</v>
      </c>
      <c r="F477" s="34" t="s">
        <v>494</v>
      </c>
      <c r="G477" s="95" t="s">
        <v>686</v>
      </c>
      <c r="H477" s="96" t="s">
        <v>16</v>
      </c>
      <c r="I477" s="97">
        <v>6</v>
      </c>
      <c r="J477" s="97"/>
      <c r="K477" s="121" t="str">
        <f>IF(consolidado[[#This Row],[Observações]]="","Não","Sim")</f>
        <v>Não</v>
      </c>
      <c r="L477" s="119" t="s">
        <v>871</v>
      </c>
    </row>
    <row r="478" spans="1:12" ht="39.6" x14ac:dyDescent="0.3">
      <c r="A478" s="32" t="s">
        <v>583</v>
      </c>
      <c r="B478" s="32" t="s">
        <v>7</v>
      </c>
      <c r="C478" s="34" t="s">
        <v>460</v>
      </c>
      <c r="D478" s="34" t="s">
        <v>520</v>
      </c>
      <c r="E478" s="5" t="str">
        <f t="shared" si="7"/>
        <v>G1E04</v>
      </c>
      <c r="F478" s="34" t="s">
        <v>494</v>
      </c>
      <c r="G478" s="95" t="s">
        <v>687</v>
      </c>
      <c r="H478" s="96" t="s">
        <v>18</v>
      </c>
      <c r="I478" s="97">
        <v>8</v>
      </c>
      <c r="J478" s="97"/>
      <c r="K478" s="121" t="str">
        <f>IF(consolidado[[#This Row],[Observações]]="","Não","Sim")</f>
        <v>Não</v>
      </c>
      <c r="L478" s="119" t="s">
        <v>871</v>
      </c>
    </row>
    <row r="479" spans="1:12" ht="39.6" x14ac:dyDescent="0.3">
      <c r="A479" s="32" t="s">
        <v>583</v>
      </c>
      <c r="B479" s="32" t="s">
        <v>7</v>
      </c>
      <c r="C479" s="34" t="s">
        <v>460</v>
      </c>
      <c r="D479" s="34" t="s">
        <v>520</v>
      </c>
      <c r="E479" s="5" t="str">
        <f t="shared" si="7"/>
        <v>G1E04</v>
      </c>
      <c r="F479" s="34" t="s">
        <v>494</v>
      </c>
      <c r="G479" s="95" t="s">
        <v>688</v>
      </c>
      <c r="H479" s="96" t="s">
        <v>20</v>
      </c>
      <c r="I479" s="97">
        <v>10</v>
      </c>
      <c r="J479" s="97"/>
      <c r="K479" s="121" t="str">
        <f>IF(consolidado[[#This Row],[Observações]]="","Não","Sim")</f>
        <v>Não</v>
      </c>
      <c r="L479" s="119" t="s">
        <v>871</v>
      </c>
    </row>
    <row r="480" spans="1:12" ht="28.8" x14ac:dyDescent="0.3">
      <c r="A480" s="32" t="s">
        <v>583</v>
      </c>
      <c r="B480" s="32" t="s">
        <v>7</v>
      </c>
      <c r="C480" s="34" t="s">
        <v>460</v>
      </c>
      <c r="D480" s="34" t="s">
        <v>521</v>
      </c>
      <c r="E480" s="5" t="str">
        <f t="shared" si="7"/>
        <v>G1E05</v>
      </c>
      <c r="F480" s="34" t="s">
        <v>496</v>
      </c>
      <c r="G480" s="95" t="s">
        <v>856</v>
      </c>
      <c r="H480" s="96" t="s">
        <v>12</v>
      </c>
      <c r="I480" s="97">
        <v>0</v>
      </c>
      <c r="J480" s="97"/>
      <c r="K480" s="121" t="str">
        <f>IF(consolidado[[#This Row],[Observações]]="","Não","Sim")</f>
        <v>Não</v>
      </c>
      <c r="L480" s="119" t="s">
        <v>872</v>
      </c>
    </row>
    <row r="481" spans="1:12" ht="28.8" x14ac:dyDescent="0.3">
      <c r="A481" s="32" t="s">
        <v>583</v>
      </c>
      <c r="B481" s="32" t="s">
        <v>7</v>
      </c>
      <c r="C481" s="34" t="s">
        <v>460</v>
      </c>
      <c r="D481" s="34" t="s">
        <v>521</v>
      </c>
      <c r="E481" s="5" t="str">
        <f t="shared" si="7"/>
        <v>G1E05</v>
      </c>
      <c r="F481" s="34" t="s">
        <v>496</v>
      </c>
      <c r="G481" s="95" t="s">
        <v>837</v>
      </c>
      <c r="H481" s="96" t="s">
        <v>16</v>
      </c>
      <c r="I481" s="97">
        <v>6</v>
      </c>
      <c r="J481" s="97"/>
      <c r="K481" s="121" t="str">
        <f>IF(consolidado[[#This Row],[Observações]]="","Não","Sim")</f>
        <v>Não</v>
      </c>
      <c r="L481" s="119" t="s">
        <v>872</v>
      </c>
    </row>
    <row r="482" spans="1:12" ht="28.8" x14ac:dyDescent="0.3">
      <c r="A482" s="32" t="s">
        <v>583</v>
      </c>
      <c r="B482" s="32" t="s">
        <v>7</v>
      </c>
      <c r="C482" s="34" t="s">
        <v>460</v>
      </c>
      <c r="D482" s="34" t="s">
        <v>521</v>
      </c>
      <c r="E482" s="5" t="str">
        <f t="shared" si="7"/>
        <v>G1E05</v>
      </c>
      <c r="F482" s="34" t="s">
        <v>496</v>
      </c>
      <c r="G482" s="95" t="s">
        <v>838</v>
      </c>
      <c r="H482" s="96" t="s">
        <v>18</v>
      </c>
      <c r="I482" s="97">
        <v>8</v>
      </c>
      <c r="J482" s="97"/>
      <c r="K482" s="121" t="str">
        <f>IF(consolidado[[#This Row],[Observações]]="","Não","Sim")</f>
        <v>Não</v>
      </c>
      <c r="L482" s="119" t="s">
        <v>872</v>
      </c>
    </row>
    <row r="483" spans="1:12" ht="43.2" x14ac:dyDescent="0.3">
      <c r="A483" s="32" t="s">
        <v>583</v>
      </c>
      <c r="B483" s="32" t="s">
        <v>7</v>
      </c>
      <c r="C483" s="34" t="s">
        <v>460</v>
      </c>
      <c r="D483" s="34" t="s">
        <v>521</v>
      </c>
      <c r="E483" s="5" t="str">
        <f t="shared" si="7"/>
        <v>G1E05</v>
      </c>
      <c r="F483" s="34" t="s">
        <v>496</v>
      </c>
      <c r="G483" s="95" t="s">
        <v>839</v>
      </c>
      <c r="H483" s="96" t="s">
        <v>20</v>
      </c>
      <c r="I483" s="97">
        <v>10</v>
      </c>
      <c r="J483" s="97"/>
      <c r="K483" s="121" t="str">
        <f>IF(consolidado[[#This Row],[Observações]]="","Não","Sim")</f>
        <v>Não</v>
      </c>
      <c r="L483" s="119" t="s">
        <v>872</v>
      </c>
    </row>
    <row r="484" spans="1:12" ht="26.4" x14ac:dyDescent="0.3">
      <c r="A484" s="32" t="s">
        <v>583</v>
      </c>
      <c r="B484" s="32" t="s">
        <v>7</v>
      </c>
      <c r="C484" s="34" t="s">
        <v>460</v>
      </c>
      <c r="D484" s="34" t="s">
        <v>522</v>
      </c>
      <c r="E484" s="5" t="str">
        <f t="shared" si="7"/>
        <v>G1E06</v>
      </c>
      <c r="F484" s="34" t="s">
        <v>523</v>
      </c>
      <c r="G484" s="95" t="s">
        <v>857</v>
      </c>
      <c r="H484" s="96" t="s">
        <v>12</v>
      </c>
      <c r="I484" s="97">
        <v>0</v>
      </c>
      <c r="J484" s="97"/>
      <c r="K484" s="121" t="str">
        <f>IF(consolidado[[#This Row],[Observações]]="","Não","Sim")</f>
        <v>Não</v>
      </c>
      <c r="L484" s="119">
        <v>15</v>
      </c>
    </row>
    <row r="485" spans="1:12" ht="26.4" x14ac:dyDescent="0.3">
      <c r="A485" s="32" t="s">
        <v>583</v>
      </c>
      <c r="B485" s="32" t="s">
        <v>7</v>
      </c>
      <c r="C485" s="34" t="s">
        <v>460</v>
      </c>
      <c r="D485" s="34" t="s">
        <v>522</v>
      </c>
      <c r="E485" s="5" t="str">
        <f t="shared" si="7"/>
        <v>G1E06</v>
      </c>
      <c r="F485" s="34" t="s">
        <v>523</v>
      </c>
      <c r="G485" s="95" t="s">
        <v>858</v>
      </c>
      <c r="H485" s="96" t="s">
        <v>18</v>
      </c>
      <c r="I485" s="97">
        <v>8</v>
      </c>
      <c r="J485" s="97"/>
      <c r="K485" s="121" t="str">
        <f>IF(consolidado[[#This Row],[Observações]]="","Não","Sim")</f>
        <v>Não</v>
      </c>
      <c r="L485" s="119">
        <v>15</v>
      </c>
    </row>
    <row r="486" spans="1:12" ht="26.4" x14ac:dyDescent="0.3">
      <c r="A486" s="32" t="s">
        <v>583</v>
      </c>
      <c r="B486" s="32" t="s">
        <v>7</v>
      </c>
      <c r="C486" s="34" t="s">
        <v>460</v>
      </c>
      <c r="D486" s="34" t="s">
        <v>522</v>
      </c>
      <c r="E486" s="5" t="str">
        <f t="shared" si="7"/>
        <v>G1E06</v>
      </c>
      <c r="F486" s="34" t="s">
        <v>523</v>
      </c>
      <c r="G486" s="95" t="s">
        <v>859</v>
      </c>
      <c r="H486" s="96" t="s">
        <v>20</v>
      </c>
      <c r="I486" s="97">
        <v>10</v>
      </c>
      <c r="J486" s="97"/>
      <c r="K486" s="121" t="str">
        <f>IF(consolidado[[#This Row],[Observações]]="","Não","Sim")</f>
        <v>Não</v>
      </c>
      <c r="L486" s="119">
        <v>15</v>
      </c>
    </row>
    <row r="487" spans="1:12" ht="28.8" x14ac:dyDescent="0.3">
      <c r="A487" s="32" t="s">
        <v>583</v>
      </c>
      <c r="B487" s="32" t="s">
        <v>100</v>
      </c>
      <c r="C487" s="34" t="s">
        <v>472</v>
      </c>
      <c r="D487" s="34" t="s">
        <v>524</v>
      </c>
      <c r="E487" s="5" t="str">
        <f t="shared" si="7"/>
        <v>G1S01</v>
      </c>
      <c r="F487" s="34" t="s">
        <v>525</v>
      </c>
      <c r="G487" s="95" t="s">
        <v>860</v>
      </c>
      <c r="H487" s="96" t="s">
        <v>12</v>
      </c>
      <c r="I487" s="97">
        <v>0</v>
      </c>
      <c r="J487" s="97"/>
      <c r="K487" s="121" t="str">
        <f>IF(consolidado[[#This Row],[Observações]]="","Não","Sim")</f>
        <v>Não</v>
      </c>
      <c r="L487" s="119" t="s">
        <v>875</v>
      </c>
    </row>
    <row r="488" spans="1:12" ht="26.4" x14ac:dyDescent="0.3">
      <c r="A488" s="32" t="s">
        <v>583</v>
      </c>
      <c r="B488" s="32" t="s">
        <v>100</v>
      </c>
      <c r="C488" s="34" t="s">
        <v>472</v>
      </c>
      <c r="D488" s="34" t="s">
        <v>524</v>
      </c>
      <c r="E488" s="5" t="str">
        <f t="shared" si="7"/>
        <v>G1S01</v>
      </c>
      <c r="F488" s="34" t="s">
        <v>525</v>
      </c>
      <c r="G488" s="95" t="s">
        <v>861</v>
      </c>
      <c r="H488" s="96" t="s">
        <v>16</v>
      </c>
      <c r="I488" s="97">
        <v>6</v>
      </c>
      <c r="J488" s="97"/>
      <c r="K488" s="121" t="str">
        <f>IF(consolidado[[#This Row],[Observações]]="","Não","Sim")</f>
        <v>Não</v>
      </c>
      <c r="L488" s="119" t="s">
        <v>875</v>
      </c>
    </row>
    <row r="489" spans="1:12" ht="28.8" x14ac:dyDescent="0.3">
      <c r="A489" s="32" t="s">
        <v>583</v>
      </c>
      <c r="B489" s="32" t="s">
        <v>100</v>
      </c>
      <c r="C489" s="34" t="s">
        <v>472</v>
      </c>
      <c r="D489" s="34" t="s">
        <v>524</v>
      </c>
      <c r="E489" s="5" t="str">
        <f t="shared" si="7"/>
        <v>G1S01</v>
      </c>
      <c r="F489" s="34" t="s">
        <v>525</v>
      </c>
      <c r="G489" s="95" t="s">
        <v>862</v>
      </c>
      <c r="H489" s="96" t="s">
        <v>18</v>
      </c>
      <c r="I489" s="97">
        <v>8</v>
      </c>
      <c r="J489" s="97"/>
      <c r="K489" s="121" t="str">
        <f>IF(consolidado[[#This Row],[Observações]]="","Não","Sim")</f>
        <v>Não</v>
      </c>
      <c r="L489" s="119" t="s">
        <v>875</v>
      </c>
    </row>
    <row r="490" spans="1:12" ht="26.4" x14ac:dyDescent="0.3">
      <c r="A490" s="32" t="s">
        <v>583</v>
      </c>
      <c r="B490" s="32" t="s">
        <v>100</v>
      </c>
      <c r="C490" s="34" t="s">
        <v>472</v>
      </c>
      <c r="D490" s="34" t="s">
        <v>524</v>
      </c>
      <c r="E490" s="5" t="str">
        <f t="shared" si="7"/>
        <v>G1S01</v>
      </c>
      <c r="F490" s="34" t="s">
        <v>525</v>
      </c>
      <c r="G490" s="95" t="s">
        <v>863</v>
      </c>
      <c r="H490" s="96" t="s">
        <v>20</v>
      </c>
      <c r="I490" s="97">
        <v>10</v>
      </c>
      <c r="J490" s="97"/>
      <c r="K490" s="121" t="str">
        <f>IF(consolidado[[#This Row],[Observações]]="","Não","Sim")</f>
        <v>Não</v>
      </c>
      <c r="L490" s="119" t="s">
        <v>875</v>
      </c>
    </row>
    <row r="491" spans="1:12" ht="28.8" x14ac:dyDescent="0.3">
      <c r="A491" s="32" t="s">
        <v>583</v>
      </c>
      <c r="B491" s="32" t="s">
        <v>100</v>
      </c>
      <c r="C491" s="34" t="s">
        <v>472</v>
      </c>
      <c r="D491" s="34" t="s">
        <v>526</v>
      </c>
      <c r="E491" s="5" t="str">
        <f t="shared" si="7"/>
        <v>G1S02</v>
      </c>
      <c r="F491" s="34" t="s">
        <v>499</v>
      </c>
      <c r="G491" s="95" t="s">
        <v>840</v>
      </c>
      <c r="H491" s="96" t="s">
        <v>12</v>
      </c>
      <c r="I491" s="97">
        <v>0</v>
      </c>
      <c r="J491" s="97"/>
      <c r="K491" s="121" t="str">
        <f>IF(consolidado[[#This Row],[Observações]]="","Não","Sim")</f>
        <v>Não</v>
      </c>
      <c r="L491" s="119" t="s">
        <v>607</v>
      </c>
    </row>
    <row r="492" spans="1:12" ht="28.8" x14ac:dyDescent="0.3">
      <c r="A492" s="32" t="s">
        <v>583</v>
      </c>
      <c r="B492" s="32" t="s">
        <v>100</v>
      </c>
      <c r="C492" s="34" t="s">
        <v>472</v>
      </c>
      <c r="D492" s="34" t="s">
        <v>526</v>
      </c>
      <c r="E492" s="5" t="str">
        <f t="shared" si="7"/>
        <v>G1S02</v>
      </c>
      <c r="F492" s="34" t="s">
        <v>499</v>
      </c>
      <c r="G492" s="95" t="s">
        <v>841</v>
      </c>
      <c r="H492" s="96" t="s">
        <v>18</v>
      </c>
      <c r="I492" s="97">
        <v>8</v>
      </c>
      <c r="J492" s="97"/>
      <c r="K492" s="121" t="str">
        <f>IF(consolidado[[#This Row],[Observações]]="","Não","Sim")</f>
        <v>Não</v>
      </c>
      <c r="L492" s="119" t="s">
        <v>607</v>
      </c>
    </row>
    <row r="493" spans="1:12" ht="28.8" x14ac:dyDescent="0.3">
      <c r="A493" s="32" t="s">
        <v>583</v>
      </c>
      <c r="B493" s="32" t="s">
        <v>100</v>
      </c>
      <c r="C493" s="34" t="s">
        <v>472</v>
      </c>
      <c r="D493" s="34" t="s">
        <v>526</v>
      </c>
      <c r="E493" s="5" t="str">
        <f t="shared" si="7"/>
        <v>G1S02</v>
      </c>
      <c r="F493" s="34" t="s">
        <v>499</v>
      </c>
      <c r="G493" s="95" t="s">
        <v>842</v>
      </c>
      <c r="H493" s="96" t="s">
        <v>20</v>
      </c>
      <c r="I493" s="97">
        <v>10</v>
      </c>
      <c r="J493" s="97"/>
      <c r="K493" s="121" t="str">
        <f>IF(consolidado[[#This Row],[Observações]]="","Não","Sim")</f>
        <v>Não</v>
      </c>
      <c r="L493" s="119" t="s">
        <v>607</v>
      </c>
    </row>
    <row r="494" spans="1:12" ht="28.8" x14ac:dyDescent="0.3">
      <c r="A494" s="32" t="s">
        <v>583</v>
      </c>
      <c r="B494" s="32" t="s">
        <v>100</v>
      </c>
      <c r="C494" s="34" t="s">
        <v>472</v>
      </c>
      <c r="D494" s="34" t="s">
        <v>527</v>
      </c>
      <c r="E494" s="5" t="str">
        <f t="shared" si="7"/>
        <v>G1S03</v>
      </c>
      <c r="F494" s="34" t="s">
        <v>479</v>
      </c>
      <c r="G494" s="95" t="s">
        <v>815</v>
      </c>
      <c r="H494" s="96" t="s">
        <v>12</v>
      </c>
      <c r="I494" s="97">
        <v>0</v>
      </c>
      <c r="J494" s="97"/>
      <c r="K494" s="121" t="str">
        <f>IF(consolidado[[#This Row],[Observações]]="","Não","Sim")</f>
        <v>Não</v>
      </c>
      <c r="L494" s="119" t="s">
        <v>875</v>
      </c>
    </row>
    <row r="495" spans="1:12" ht="57.6" x14ac:dyDescent="0.3">
      <c r="A495" s="32" t="s">
        <v>583</v>
      </c>
      <c r="B495" s="32" t="s">
        <v>100</v>
      </c>
      <c r="C495" s="34" t="s">
        <v>472</v>
      </c>
      <c r="D495" s="34" t="s">
        <v>527</v>
      </c>
      <c r="E495" s="5" t="str">
        <f t="shared" si="7"/>
        <v>G1S03</v>
      </c>
      <c r="F495" s="34" t="s">
        <v>479</v>
      </c>
      <c r="G495" s="95" t="s">
        <v>843</v>
      </c>
      <c r="H495" s="96" t="s">
        <v>18</v>
      </c>
      <c r="I495" s="97">
        <v>8</v>
      </c>
      <c r="J495" s="97"/>
      <c r="K495" s="121" t="str">
        <f>IF(consolidado[[#This Row],[Observações]]="","Não","Sim")</f>
        <v>Não</v>
      </c>
      <c r="L495" s="119" t="s">
        <v>875</v>
      </c>
    </row>
    <row r="496" spans="1:12" ht="43.2" x14ac:dyDescent="0.3">
      <c r="A496" s="32" t="s">
        <v>583</v>
      </c>
      <c r="B496" s="32" t="s">
        <v>100</v>
      </c>
      <c r="C496" s="34" t="s">
        <v>472</v>
      </c>
      <c r="D496" s="34" t="s">
        <v>527</v>
      </c>
      <c r="E496" s="5" t="str">
        <f t="shared" si="7"/>
        <v>G1S03</v>
      </c>
      <c r="F496" s="34" t="s">
        <v>479</v>
      </c>
      <c r="G496" s="95" t="s">
        <v>844</v>
      </c>
      <c r="H496" s="96" t="s">
        <v>20</v>
      </c>
      <c r="I496" s="97">
        <v>10</v>
      </c>
      <c r="J496" s="97"/>
      <c r="K496" s="121" t="str">
        <f>IF(consolidado[[#This Row],[Observações]]="","Não","Sim")</f>
        <v>Não</v>
      </c>
      <c r="L496" s="119" t="s">
        <v>875</v>
      </c>
    </row>
    <row r="497" spans="1:12" ht="28.8" x14ac:dyDescent="0.3">
      <c r="A497" s="32" t="s">
        <v>583</v>
      </c>
      <c r="B497" s="33" t="s">
        <v>239</v>
      </c>
      <c r="C497" s="35" t="s">
        <v>504</v>
      </c>
      <c r="D497" s="35" t="s">
        <v>528</v>
      </c>
      <c r="E497" s="5" t="str">
        <f t="shared" si="7"/>
        <v>G1G01</v>
      </c>
      <c r="F497" s="36" t="s">
        <v>506</v>
      </c>
      <c r="G497" s="95" t="s">
        <v>845</v>
      </c>
      <c r="H497" s="96" t="s">
        <v>12</v>
      </c>
      <c r="I497" s="97">
        <v>0</v>
      </c>
      <c r="J497" s="97"/>
      <c r="K497" s="121" t="str">
        <f>IF(consolidado[[#This Row],[Observações]]="","Não","Sim")</f>
        <v>Não</v>
      </c>
      <c r="L497" s="119">
        <v>16</v>
      </c>
    </row>
    <row r="498" spans="1:12" ht="26.4" x14ac:dyDescent="0.3">
      <c r="A498" s="32" t="s">
        <v>583</v>
      </c>
      <c r="B498" s="33" t="s">
        <v>239</v>
      </c>
      <c r="C498" s="35" t="s">
        <v>504</v>
      </c>
      <c r="D498" s="35" t="s">
        <v>528</v>
      </c>
      <c r="E498" s="5" t="str">
        <f t="shared" si="7"/>
        <v>G1G01</v>
      </c>
      <c r="F498" s="36" t="s">
        <v>506</v>
      </c>
      <c r="G498" s="95" t="s">
        <v>846</v>
      </c>
      <c r="H498" s="106" t="s">
        <v>18</v>
      </c>
      <c r="I498" s="107">
        <v>0</v>
      </c>
      <c r="J498" s="107" t="s">
        <v>534</v>
      </c>
      <c r="K498" s="121" t="str">
        <f>IF(consolidado[[#This Row],[Observações]]="","Não","Sim")</f>
        <v>Sim</v>
      </c>
      <c r="L498" s="119">
        <v>16</v>
      </c>
    </row>
    <row r="499" spans="1:12" ht="28.8" x14ac:dyDescent="0.3">
      <c r="A499" s="32" t="s">
        <v>583</v>
      </c>
      <c r="B499" s="33" t="s">
        <v>239</v>
      </c>
      <c r="C499" s="35" t="s">
        <v>504</v>
      </c>
      <c r="D499" s="35" t="s">
        <v>528</v>
      </c>
      <c r="E499" s="5" t="str">
        <f t="shared" si="7"/>
        <v>G1G01</v>
      </c>
      <c r="F499" s="36" t="s">
        <v>506</v>
      </c>
      <c r="G499" s="95" t="s">
        <v>15</v>
      </c>
      <c r="H499" s="96" t="s">
        <v>20</v>
      </c>
      <c r="I499" s="97">
        <v>10</v>
      </c>
      <c r="J499" s="97"/>
      <c r="K499" s="121" t="str">
        <f>IF(consolidado[[#This Row],[Observações]]="","Não","Sim")</f>
        <v>Não</v>
      </c>
      <c r="L499" s="119">
        <v>16</v>
      </c>
    </row>
    <row r="500" spans="1:12" ht="28.8" x14ac:dyDescent="0.3">
      <c r="A500" s="4" t="s">
        <v>584</v>
      </c>
      <c r="B500" s="4" t="s">
        <v>7</v>
      </c>
      <c r="C500" s="5" t="s">
        <v>372</v>
      </c>
      <c r="D500" s="5" t="s">
        <v>546</v>
      </c>
      <c r="E500" s="5" t="str">
        <f t="shared" si="7"/>
        <v>HE01</v>
      </c>
      <c r="F500" s="5" t="s">
        <v>374</v>
      </c>
      <c r="G500" s="95" t="s">
        <v>508</v>
      </c>
      <c r="H500" s="96" t="s">
        <v>12</v>
      </c>
      <c r="I500" s="97">
        <v>0</v>
      </c>
      <c r="J500" s="97"/>
      <c r="K500" s="121" t="str">
        <f>IF(consolidado[[#This Row],[Observações]]="","Não","Sim")</f>
        <v>Não</v>
      </c>
      <c r="L500" s="119">
        <v>12</v>
      </c>
    </row>
    <row r="501" spans="1:12" ht="28.8" x14ac:dyDescent="0.3">
      <c r="A501" s="4" t="s">
        <v>584</v>
      </c>
      <c r="B501" s="4" t="s">
        <v>7</v>
      </c>
      <c r="C501" s="5" t="s">
        <v>372</v>
      </c>
      <c r="D501" s="5" t="s">
        <v>546</v>
      </c>
      <c r="E501" s="5" t="str">
        <f t="shared" si="7"/>
        <v>HE01</v>
      </c>
      <c r="F501" s="5" t="s">
        <v>374</v>
      </c>
      <c r="G501" s="95" t="s">
        <v>509</v>
      </c>
      <c r="H501" s="106" t="s">
        <v>14</v>
      </c>
      <c r="I501" s="107">
        <v>0</v>
      </c>
      <c r="J501" s="107" t="s">
        <v>534</v>
      </c>
      <c r="K501" s="121" t="str">
        <f>IF(consolidado[[#This Row],[Observações]]="","Não","Sim")</f>
        <v>Sim</v>
      </c>
      <c r="L501" s="119">
        <v>12</v>
      </c>
    </row>
    <row r="502" spans="1:12" ht="28.8" x14ac:dyDescent="0.3">
      <c r="A502" s="4" t="s">
        <v>584</v>
      </c>
      <c r="B502" s="4" t="s">
        <v>7</v>
      </c>
      <c r="C502" s="5" t="s">
        <v>372</v>
      </c>
      <c r="D502" s="5" t="s">
        <v>546</v>
      </c>
      <c r="E502" s="5" t="str">
        <f t="shared" si="7"/>
        <v>HE01</v>
      </c>
      <c r="F502" s="5" t="s">
        <v>374</v>
      </c>
      <c r="G502" s="95" t="s">
        <v>510</v>
      </c>
      <c r="H502" s="96" t="s">
        <v>16</v>
      </c>
      <c r="I502" s="97">
        <v>6</v>
      </c>
      <c r="J502" s="97"/>
      <c r="K502" s="121" t="str">
        <f>IF(consolidado[[#This Row],[Observações]]="","Não","Sim")</f>
        <v>Não</v>
      </c>
      <c r="L502" s="119">
        <v>12</v>
      </c>
    </row>
    <row r="503" spans="1:12" ht="28.8" x14ac:dyDescent="0.3">
      <c r="A503" s="4" t="s">
        <v>584</v>
      </c>
      <c r="B503" s="4" t="s">
        <v>7</v>
      </c>
      <c r="C503" s="5" t="s">
        <v>372</v>
      </c>
      <c r="D503" s="5" t="s">
        <v>546</v>
      </c>
      <c r="E503" s="5" t="str">
        <f t="shared" si="7"/>
        <v>HE01</v>
      </c>
      <c r="F503" s="5" t="s">
        <v>374</v>
      </c>
      <c r="G503" s="95" t="s">
        <v>511</v>
      </c>
      <c r="H503" s="96" t="s">
        <v>18</v>
      </c>
      <c r="I503" s="97">
        <v>8</v>
      </c>
      <c r="J503" s="97"/>
      <c r="K503" s="121" t="str">
        <f>IF(consolidado[[#This Row],[Observações]]="","Não","Sim")</f>
        <v>Não</v>
      </c>
      <c r="L503" s="119">
        <v>12</v>
      </c>
    </row>
    <row r="504" spans="1:12" ht="26.4" x14ac:dyDescent="0.3">
      <c r="A504" s="4" t="s">
        <v>584</v>
      </c>
      <c r="B504" s="4" t="s">
        <v>7</v>
      </c>
      <c r="C504" s="5" t="s">
        <v>372</v>
      </c>
      <c r="D504" s="5" t="s">
        <v>546</v>
      </c>
      <c r="E504" s="5" t="str">
        <f t="shared" si="7"/>
        <v>HE01</v>
      </c>
      <c r="F504" s="5" t="s">
        <v>374</v>
      </c>
      <c r="G504" s="95" t="s">
        <v>512</v>
      </c>
      <c r="H504" s="96" t="s">
        <v>20</v>
      </c>
      <c r="I504" s="97">
        <v>10</v>
      </c>
      <c r="J504" s="97"/>
      <c r="K504" s="121" t="str">
        <f>IF(consolidado[[#This Row],[Observações]]="","Não","Sim")</f>
        <v>Não</v>
      </c>
      <c r="L504" s="119">
        <v>12</v>
      </c>
    </row>
    <row r="505" spans="1:12" ht="28.8" x14ac:dyDescent="0.3">
      <c r="A505" s="4" t="s">
        <v>584</v>
      </c>
      <c r="B505" s="4" t="s">
        <v>7</v>
      </c>
      <c r="C505" s="5" t="s">
        <v>372</v>
      </c>
      <c r="D505" s="5" t="s">
        <v>548</v>
      </c>
      <c r="E505" s="5" t="str">
        <f t="shared" si="7"/>
        <v>HE02</v>
      </c>
      <c r="F505" s="5" t="s">
        <v>376</v>
      </c>
      <c r="G505" s="95" t="s">
        <v>529</v>
      </c>
      <c r="H505" s="96" t="s">
        <v>12</v>
      </c>
      <c r="I505" s="97">
        <v>0</v>
      </c>
      <c r="J505" s="97"/>
      <c r="K505" s="121" t="str">
        <f>IF(consolidado[[#This Row],[Observações]]="","Não","Sim")</f>
        <v>Não</v>
      </c>
      <c r="L505" s="119">
        <v>12</v>
      </c>
    </row>
    <row r="506" spans="1:12" ht="28.8" x14ac:dyDescent="0.3">
      <c r="A506" s="4" t="s">
        <v>584</v>
      </c>
      <c r="B506" s="4" t="s">
        <v>7</v>
      </c>
      <c r="C506" s="5" t="s">
        <v>372</v>
      </c>
      <c r="D506" s="5" t="s">
        <v>548</v>
      </c>
      <c r="E506" s="5" t="str">
        <f t="shared" si="7"/>
        <v>HE02</v>
      </c>
      <c r="F506" s="5" t="s">
        <v>376</v>
      </c>
      <c r="G506" s="95" t="s">
        <v>530</v>
      </c>
      <c r="H506" s="106" t="s">
        <v>14</v>
      </c>
      <c r="I506" s="107">
        <v>0</v>
      </c>
      <c r="J506" s="107" t="s">
        <v>534</v>
      </c>
      <c r="K506" s="121" t="str">
        <f>IF(consolidado[[#This Row],[Observações]]="","Não","Sim")</f>
        <v>Sim</v>
      </c>
      <c r="L506" s="119">
        <v>12</v>
      </c>
    </row>
    <row r="507" spans="1:12" ht="28.8" x14ac:dyDescent="0.3">
      <c r="A507" s="4" t="s">
        <v>584</v>
      </c>
      <c r="B507" s="4" t="s">
        <v>7</v>
      </c>
      <c r="C507" s="5" t="s">
        <v>372</v>
      </c>
      <c r="D507" s="5" t="s">
        <v>548</v>
      </c>
      <c r="E507" s="5" t="str">
        <f t="shared" si="7"/>
        <v>HE02</v>
      </c>
      <c r="F507" s="5" t="s">
        <v>376</v>
      </c>
      <c r="G507" s="95" t="s">
        <v>533</v>
      </c>
      <c r="H507" s="96" t="s">
        <v>16</v>
      </c>
      <c r="I507" s="97">
        <v>6</v>
      </c>
      <c r="J507" s="97"/>
      <c r="K507" s="121" t="str">
        <f>IF(consolidado[[#This Row],[Observações]]="","Não","Sim")</f>
        <v>Não</v>
      </c>
      <c r="L507" s="119">
        <v>12</v>
      </c>
    </row>
    <row r="508" spans="1:12" ht="28.8" x14ac:dyDescent="0.3">
      <c r="A508" s="4" t="s">
        <v>584</v>
      </c>
      <c r="B508" s="4" t="s">
        <v>7</v>
      </c>
      <c r="C508" s="5" t="s">
        <v>372</v>
      </c>
      <c r="D508" s="5" t="s">
        <v>548</v>
      </c>
      <c r="E508" s="5" t="str">
        <f t="shared" si="7"/>
        <v>HE02</v>
      </c>
      <c r="F508" s="5" t="s">
        <v>376</v>
      </c>
      <c r="G508" s="95" t="s">
        <v>532</v>
      </c>
      <c r="H508" s="96" t="s">
        <v>18</v>
      </c>
      <c r="I508" s="97">
        <v>8</v>
      </c>
      <c r="J508" s="97"/>
      <c r="K508" s="121" t="str">
        <f>IF(consolidado[[#This Row],[Observações]]="","Não","Sim")</f>
        <v>Não</v>
      </c>
      <c r="L508" s="119">
        <v>12</v>
      </c>
    </row>
    <row r="509" spans="1:12" ht="28.8" x14ac:dyDescent="0.3">
      <c r="A509" s="4" t="s">
        <v>584</v>
      </c>
      <c r="B509" s="4" t="s">
        <v>7</v>
      </c>
      <c r="C509" s="5" t="s">
        <v>372</v>
      </c>
      <c r="D509" s="5" t="s">
        <v>548</v>
      </c>
      <c r="E509" s="5" t="str">
        <f t="shared" si="7"/>
        <v>HE02</v>
      </c>
      <c r="F509" s="5" t="s">
        <v>376</v>
      </c>
      <c r="G509" s="95" t="s">
        <v>531</v>
      </c>
      <c r="H509" s="96" t="s">
        <v>20</v>
      </c>
      <c r="I509" s="97">
        <v>10</v>
      </c>
      <c r="J509" s="97"/>
      <c r="K509" s="121" t="str">
        <f>IF(consolidado[[#This Row],[Observações]]="","Não","Sim")</f>
        <v>Não</v>
      </c>
      <c r="L509" s="119">
        <v>12</v>
      </c>
    </row>
    <row r="510" spans="1:12" ht="28.8" x14ac:dyDescent="0.3">
      <c r="A510" s="4" t="s">
        <v>584</v>
      </c>
      <c r="B510" s="4" t="s">
        <v>7</v>
      </c>
      <c r="C510" s="5" t="s">
        <v>377</v>
      </c>
      <c r="D510" s="5" t="s">
        <v>549</v>
      </c>
      <c r="E510" s="5" t="str">
        <f t="shared" si="7"/>
        <v>HE03</v>
      </c>
      <c r="F510" s="5" t="s">
        <v>379</v>
      </c>
      <c r="G510" s="95" t="s">
        <v>535</v>
      </c>
      <c r="H510" s="96" t="s">
        <v>12</v>
      </c>
      <c r="I510" s="97">
        <v>0</v>
      </c>
      <c r="J510" s="97"/>
      <c r="K510" s="121" t="str">
        <f>IF(consolidado[[#This Row],[Observações]]="","Não","Sim")</f>
        <v>Não</v>
      </c>
      <c r="L510" s="119">
        <v>12</v>
      </c>
    </row>
    <row r="511" spans="1:12" ht="28.8" x14ac:dyDescent="0.3">
      <c r="A511" s="4" t="s">
        <v>584</v>
      </c>
      <c r="B511" s="4" t="s">
        <v>7</v>
      </c>
      <c r="C511" s="5" t="s">
        <v>377</v>
      </c>
      <c r="D511" s="5" t="s">
        <v>549</v>
      </c>
      <c r="E511" s="5" t="str">
        <f t="shared" si="7"/>
        <v>HE03</v>
      </c>
      <c r="F511" s="5" t="s">
        <v>379</v>
      </c>
      <c r="G511" s="95" t="s">
        <v>537</v>
      </c>
      <c r="H511" s="96" t="s">
        <v>18</v>
      </c>
      <c r="I511" s="97">
        <v>8</v>
      </c>
      <c r="J511" s="97"/>
      <c r="K511" s="121" t="str">
        <f>IF(consolidado[[#This Row],[Observações]]="","Não","Sim")</f>
        <v>Não</v>
      </c>
      <c r="L511" s="119">
        <v>12</v>
      </c>
    </row>
    <row r="512" spans="1:12" ht="28.8" x14ac:dyDescent="0.3">
      <c r="A512" s="4" t="s">
        <v>584</v>
      </c>
      <c r="B512" s="4" t="s">
        <v>7</v>
      </c>
      <c r="C512" s="5" t="s">
        <v>377</v>
      </c>
      <c r="D512" s="5" t="s">
        <v>549</v>
      </c>
      <c r="E512" s="5" t="str">
        <f t="shared" si="7"/>
        <v>HE03</v>
      </c>
      <c r="F512" s="5" t="s">
        <v>379</v>
      </c>
      <c r="G512" s="95" t="s">
        <v>536</v>
      </c>
      <c r="H512" s="96" t="s">
        <v>20</v>
      </c>
      <c r="I512" s="97">
        <v>10</v>
      </c>
      <c r="J512" s="97"/>
      <c r="K512" s="121" t="str">
        <f>IF(consolidado[[#This Row],[Observações]]="","Não","Sim")</f>
        <v>Não</v>
      </c>
      <c r="L512" s="119">
        <v>12</v>
      </c>
    </row>
    <row r="513" spans="1:12" ht="28.8" x14ac:dyDescent="0.3">
      <c r="A513" s="4" t="s">
        <v>584</v>
      </c>
      <c r="B513" s="4" t="s">
        <v>7</v>
      </c>
      <c r="C513" s="5" t="s">
        <v>377</v>
      </c>
      <c r="D513" s="5" t="s">
        <v>550</v>
      </c>
      <c r="E513" s="5" t="str">
        <f t="shared" si="7"/>
        <v>HE04</v>
      </c>
      <c r="F513" s="5" t="s">
        <v>381</v>
      </c>
      <c r="G513" s="95" t="s">
        <v>538</v>
      </c>
      <c r="H513" s="96" t="s">
        <v>12</v>
      </c>
      <c r="I513" s="97">
        <v>0</v>
      </c>
      <c r="J513" s="97"/>
      <c r="K513" s="121" t="str">
        <f>IF(consolidado[[#This Row],[Observações]]="","Não","Sim")</f>
        <v>Não</v>
      </c>
      <c r="L513" s="119">
        <v>15</v>
      </c>
    </row>
    <row r="514" spans="1:12" ht="28.8" x14ac:dyDescent="0.3">
      <c r="A514" s="4" t="s">
        <v>584</v>
      </c>
      <c r="B514" s="4" t="s">
        <v>7</v>
      </c>
      <c r="C514" s="5" t="s">
        <v>377</v>
      </c>
      <c r="D514" s="5" t="s">
        <v>550</v>
      </c>
      <c r="E514" s="5" t="str">
        <f t="shared" si="7"/>
        <v>HE04</v>
      </c>
      <c r="F514" s="5" t="s">
        <v>381</v>
      </c>
      <c r="G514" s="95" t="s">
        <v>539</v>
      </c>
      <c r="H514" s="96" t="s">
        <v>18</v>
      </c>
      <c r="I514" s="97">
        <v>8</v>
      </c>
      <c r="J514" s="97"/>
      <c r="K514" s="121" t="str">
        <f>IF(consolidado[[#This Row],[Observações]]="","Não","Sim")</f>
        <v>Não</v>
      </c>
      <c r="L514" s="119">
        <v>15</v>
      </c>
    </row>
    <row r="515" spans="1:12" ht="28.8" x14ac:dyDescent="0.3">
      <c r="A515" s="4" t="s">
        <v>584</v>
      </c>
      <c r="B515" s="4" t="s">
        <v>7</v>
      </c>
      <c r="C515" s="5" t="s">
        <v>377</v>
      </c>
      <c r="D515" s="5" t="s">
        <v>550</v>
      </c>
      <c r="E515" s="5" t="str">
        <f t="shared" ref="E515:E539" si="8">SUBSTITUTE(D515," ","")</f>
        <v>HE04</v>
      </c>
      <c r="F515" s="5" t="s">
        <v>381</v>
      </c>
      <c r="G515" s="95" t="s">
        <v>540</v>
      </c>
      <c r="H515" s="96" t="s">
        <v>20</v>
      </c>
      <c r="I515" s="97">
        <v>10</v>
      </c>
      <c r="J515" s="97"/>
      <c r="K515" s="121" t="str">
        <f>IF(consolidado[[#This Row],[Observações]]="","Não","Sim")</f>
        <v>Não</v>
      </c>
      <c r="L515" s="119">
        <v>15</v>
      </c>
    </row>
    <row r="516" spans="1:12" ht="26.4" x14ac:dyDescent="0.3">
      <c r="A516" s="4" t="s">
        <v>584</v>
      </c>
      <c r="B516" s="4" t="s">
        <v>7</v>
      </c>
      <c r="C516" s="5" t="s">
        <v>377</v>
      </c>
      <c r="D516" s="5" t="s">
        <v>619</v>
      </c>
      <c r="E516" s="5" t="str">
        <f t="shared" si="8"/>
        <v>HE05</v>
      </c>
      <c r="F516" s="5" t="s">
        <v>383</v>
      </c>
      <c r="G516" s="95" t="s">
        <v>541</v>
      </c>
      <c r="H516" s="96" t="s">
        <v>12</v>
      </c>
      <c r="I516" s="97">
        <v>0</v>
      </c>
      <c r="J516" s="97"/>
      <c r="K516" s="121" t="str">
        <f>IF(consolidado[[#This Row],[Observações]]="","Não","Sim")</f>
        <v>Não</v>
      </c>
      <c r="L516" s="119">
        <v>12</v>
      </c>
    </row>
    <row r="517" spans="1:12" ht="26.4" x14ac:dyDescent="0.3">
      <c r="A517" s="4" t="s">
        <v>584</v>
      </c>
      <c r="B517" s="4" t="s">
        <v>7</v>
      </c>
      <c r="C517" s="5" t="s">
        <v>377</v>
      </c>
      <c r="D517" s="5" t="s">
        <v>619</v>
      </c>
      <c r="E517" s="5" t="str">
        <f t="shared" si="8"/>
        <v>HE05</v>
      </c>
      <c r="F517" s="5" t="s">
        <v>383</v>
      </c>
      <c r="G517" s="95" t="s">
        <v>542</v>
      </c>
      <c r="H517" s="106" t="s">
        <v>14</v>
      </c>
      <c r="I517" s="107">
        <v>0</v>
      </c>
      <c r="J517" s="107" t="s">
        <v>534</v>
      </c>
      <c r="K517" s="121" t="str">
        <f>IF(consolidado[[#This Row],[Observações]]="","Não","Sim")</f>
        <v>Sim</v>
      </c>
      <c r="L517" s="119">
        <v>12</v>
      </c>
    </row>
    <row r="518" spans="1:12" ht="28.8" x14ac:dyDescent="0.3">
      <c r="A518" s="4" t="s">
        <v>584</v>
      </c>
      <c r="B518" s="4" t="s">
        <v>7</v>
      </c>
      <c r="C518" s="5" t="s">
        <v>377</v>
      </c>
      <c r="D518" s="5" t="s">
        <v>619</v>
      </c>
      <c r="E518" s="5" t="str">
        <f t="shared" si="8"/>
        <v>HE05</v>
      </c>
      <c r="F518" s="5" t="s">
        <v>383</v>
      </c>
      <c r="G518" s="95" t="s">
        <v>543</v>
      </c>
      <c r="H518" s="96" t="s">
        <v>16</v>
      </c>
      <c r="I518" s="97">
        <v>6</v>
      </c>
      <c r="J518" s="97"/>
      <c r="K518" s="121" t="str">
        <f>IF(consolidado[[#This Row],[Observações]]="","Não","Sim")</f>
        <v>Não</v>
      </c>
      <c r="L518" s="119">
        <v>12</v>
      </c>
    </row>
    <row r="519" spans="1:12" ht="28.8" x14ac:dyDescent="0.3">
      <c r="A519" s="4" t="s">
        <v>584</v>
      </c>
      <c r="B519" s="4" t="s">
        <v>7</v>
      </c>
      <c r="C519" s="5" t="s">
        <v>377</v>
      </c>
      <c r="D519" s="5" t="s">
        <v>619</v>
      </c>
      <c r="E519" s="5" t="str">
        <f t="shared" si="8"/>
        <v>HE05</v>
      </c>
      <c r="F519" s="5" t="s">
        <v>383</v>
      </c>
      <c r="G519" s="95" t="s">
        <v>544</v>
      </c>
      <c r="H519" s="96" t="s">
        <v>18</v>
      </c>
      <c r="I519" s="97">
        <v>8</v>
      </c>
      <c r="J519" s="97"/>
      <c r="K519" s="121" t="str">
        <f>IF(consolidado[[#This Row],[Observações]]="","Não","Sim")</f>
        <v>Não</v>
      </c>
      <c r="L519" s="119">
        <v>12</v>
      </c>
    </row>
    <row r="520" spans="1:12" ht="28.8" x14ac:dyDescent="0.3">
      <c r="A520" s="4" t="s">
        <v>584</v>
      </c>
      <c r="B520" s="4" t="s">
        <v>7</v>
      </c>
      <c r="C520" s="5" t="s">
        <v>377</v>
      </c>
      <c r="D520" s="5" t="s">
        <v>619</v>
      </c>
      <c r="E520" s="5" t="str">
        <f t="shared" si="8"/>
        <v>HE05</v>
      </c>
      <c r="F520" s="5" t="s">
        <v>383</v>
      </c>
      <c r="G520" s="95" t="s">
        <v>545</v>
      </c>
      <c r="H520" s="96" t="s">
        <v>20</v>
      </c>
      <c r="I520" s="97">
        <v>10</v>
      </c>
      <c r="J520" s="97"/>
      <c r="K520" s="121" t="str">
        <f>IF(consolidado[[#This Row],[Observações]]="","Não","Sim")</f>
        <v>Não</v>
      </c>
      <c r="L520" s="119">
        <v>12</v>
      </c>
    </row>
    <row r="521" spans="1:12" ht="28.8" x14ac:dyDescent="0.3">
      <c r="A521" s="4" t="s">
        <v>584</v>
      </c>
      <c r="B521" s="4" t="s">
        <v>7</v>
      </c>
      <c r="C521" s="5" t="s">
        <v>384</v>
      </c>
      <c r="D521" s="5" t="s">
        <v>615</v>
      </c>
      <c r="E521" s="5" t="str">
        <f t="shared" si="8"/>
        <v>HE06</v>
      </c>
      <c r="F521" s="5" t="s">
        <v>385</v>
      </c>
      <c r="G521" s="95" t="s">
        <v>624</v>
      </c>
      <c r="H521" s="96" t="s">
        <v>12</v>
      </c>
      <c r="I521" s="97">
        <v>0</v>
      </c>
      <c r="J521" s="97"/>
      <c r="K521" s="121" t="str">
        <f>IF(consolidado[[#This Row],[Observações]]="","Não","Sim")</f>
        <v>Não</v>
      </c>
      <c r="L521" s="119">
        <v>12</v>
      </c>
    </row>
    <row r="522" spans="1:12" ht="28.8" x14ac:dyDescent="0.3">
      <c r="A522" s="4" t="s">
        <v>584</v>
      </c>
      <c r="B522" s="4" t="s">
        <v>7</v>
      </c>
      <c r="C522" s="5" t="s">
        <v>384</v>
      </c>
      <c r="D522" s="5" t="s">
        <v>615</v>
      </c>
      <c r="E522" s="5" t="str">
        <f t="shared" si="8"/>
        <v>HE06</v>
      </c>
      <c r="F522" s="5" t="s">
        <v>385</v>
      </c>
      <c r="G522" s="95" t="s">
        <v>625</v>
      </c>
      <c r="H522" s="96" t="s">
        <v>14</v>
      </c>
      <c r="I522" s="97">
        <v>4</v>
      </c>
      <c r="J522" s="97"/>
      <c r="K522" s="121" t="str">
        <f>IF(consolidado[[#This Row],[Observações]]="","Não","Sim")</f>
        <v>Não</v>
      </c>
      <c r="L522" s="119">
        <v>12</v>
      </c>
    </row>
    <row r="523" spans="1:12" ht="43.2" x14ac:dyDescent="0.3">
      <c r="A523" s="4" t="s">
        <v>584</v>
      </c>
      <c r="B523" s="4" t="s">
        <v>7</v>
      </c>
      <c r="C523" s="5" t="s">
        <v>384</v>
      </c>
      <c r="D523" s="5" t="s">
        <v>615</v>
      </c>
      <c r="E523" s="5" t="str">
        <f t="shared" si="8"/>
        <v>HE06</v>
      </c>
      <c r="F523" s="5" t="s">
        <v>385</v>
      </c>
      <c r="G523" s="95" t="s">
        <v>626</v>
      </c>
      <c r="H523" s="96" t="s">
        <v>16</v>
      </c>
      <c r="I523" s="97">
        <v>6</v>
      </c>
      <c r="J523" s="97"/>
      <c r="K523" s="121" t="str">
        <f>IF(consolidado[[#This Row],[Observações]]="","Não","Sim")</f>
        <v>Não</v>
      </c>
      <c r="L523" s="119">
        <v>12</v>
      </c>
    </row>
    <row r="524" spans="1:12" ht="28.8" x14ac:dyDescent="0.3">
      <c r="A524" s="4" t="s">
        <v>584</v>
      </c>
      <c r="B524" s="4" t="s">
        <v>7</v>
      </c>
      <c r="C524" s="5" t="s">
        <v>384</v>
      </c>
      <c r="D524" s="5" t="s">
        <v>615</v>
      </c>
      <c r="E524" s="5" t="str">
        <f t="shared" si="8"/>
        <v>HE06</v>
      </c>
      <c r="F524" s="5" t="s">
        <v>385</v>
      </c>
      <c r="G524" s="95" t="s">
        <v>627</v>
      </c>
      <c r="H524" s="96" t="s">
        <v>18</v>
      </c>
      <c r="I524" s="97">
        <v>8</v>
      </c>
      <c r="J524" s="97"/>
      <c r="K524" s="121" t="str">
        <f>IF(consolidado[[#This Row],[Observações]]="","Não","Sim")</f>
        <v>Não</v>
      </c>
      <c r="L524" s="119">
        <v>12</v>
      </c>
    </row>
    <row r="525" spans="1:12" ht="28.8" x14ac:dyDescent="0.3">
      <c r="A525" s="4" t="s">
        <v>584</v>
      </c>
      <c r="B525" s="4" t="s">
        <v>7</v>
      </c>
      <c r="C525" s="5" t="s">
        <v>384</v>
      </c>
      <c r="D525" s="5" t="s">
        <v>615</v>
      </c>
      <c r="E525" s="5" t="str">
        <f t="shared" si="8"/>
        <v>HE06</v>
      </c>
      <c r="F525" s="5" t="s">
        <v>385</v>
      </c>
      <c r="G525" s="95" t="s">
        <v>628</v>
      </c>
      <c r="H525" s="96" t="s">
        <v>20</v>
      </c>
      <c r="I525" s="97">
        <v>10</v>
      </c>
      <c r="J525" s="97"/>
      <c r="K525" s="121" t="str">
        <f>IF(consolidado[[#This Row],[Observações]]="","Não","Sim")</f>
        <v>Não</v>
      </c>
      <c r="L525" s="119">
        <v>12</v>
      </c>
    </row>
    <row r="526" spans="1:12" ht="26.4" x14ac:dyDescent="0.3">
      <c r="A526" s="4" t="s">
        <v>584</v>
      </c>
      <c r="B526" s="4" t="s">
        <v>7</v>
      </c>
      <c r="C526" s="5" t="s">
        <v>384</v>
      </c>
      <c r="D526" s="5" t="s">
        <v>616</v>
      </c>
      <c r="E526" s="5" t="str">
        <f t="shared" si="8"/>
        <v>HE07</v>
      </c>
      <c r="F526" s="5" t="s">
        <v>386</v>
      </c>
      <c r="G526" s="95" t="s">
        <v>629</v>
      </c>
      <c r="H526" s="96" t="s">
        <v>12</v>
      </c>
      <c r="I526" s="97">
        <v>0</v>
      </c>
      <c r="J526" s="97"/>
      <c r="K526" s="121" t="str">
        <f>IF(consolidado[[#This Row],[Observações]]="","Não","Sim")</f>
        <v>Não</v>
      </c>
      <c r="L526" s="119">
        <v>13</v>
      </c>
    </row>
    <row r="527" spans="1:12" ht="28.8" x14ac:dyDescent="0.3">
      <c r="A527" s="4" t="s">
        <v>584</v>
      </c>
      <c r="B527" s="4" t="s">
        <v>7</v>
      </c>
      <c r="C527" s="5" t="s">
        <v>384</v>
      </c>
      <c r="D527" s="5" t="s">
        <v>616</v>
      </c>
      <c r="E527" s="5" t="str">
        <f t="shared" si="8"/>
        <v>HE07</v>
      </c>
      <c r="F527" s="5" t="s">
        <v>386</v>
      </c>
      <c r="G527" s="95" t="s">
        <v>630</v>
      </c>
      <c r="H527" s="96" t="s">
        <v>14</v>
      </c>
      <c r="I527" s="97">
        <v>4</v>
      </c>
      <c r="J527" s="97"/>
      <c r="K527" s="121" t="str">
        <f>IF(consolidado[[#This Row],[Observações]]="","Não","Sim")</f>
        <v>Não</v>
      </c>
      <c r="L527" s="119">
        <v>13</v>
      </c>
    </row>
    <row r="528" spans="1:12" ht="28.8" x14ac:dyDescent="0.3">
      <c r="A528" s="4" t="s">
        <v>584</v>
      </c>
      <c r="B528" s="4" t="s">
        <v>7</v>
      </c>
      <c r="C528" s="5" t="s">
        <v>384</v>
      </c>
      <c r="D528" s="5" t="s">
        <v>616</v>
      </c>
      <c r="E528" s="5" t="str">
        <f t="shared" si="8"/>
        <v>HE07</v>
      </c>
      <c r="F528" s="5" t="s">
        <v>386</v>
      </c>
      <c r="G528" s="95" t="s">
        <v>631</v>
      </c>
      <c r="H528" s="96" t="s">
        <v>16</v>
      </c>
      <c r="I528" s="97">
        <v>6</v>
      </c>
      <c r="J528" s="97"/>
      <c r="K528" s="121" t="str">
        <f>IF(consolidado[[#This Row],[Observações]]="","Não","Sim")</f>
        <v>Não</v>
      </c>
      <c r="L528" s="119">
        <v>13</v>
      </c>
    </row>
    <row r="529" spans="1:12" ht="28.8" x14ac:dyDescent="0.3">
      <c r="A529" s="4" t="s">
        <v>584</v>
      </c>
      <c r="B529" s="4" t="s">
        <v>7</v>
      </c>
      <c r="C529" s="5" t="s">
        <v>384</v>
      </c>
      <c r="D529" s="5" t="s">
        <v>616</v>
      </c>
      <c r="E529" s="5" t="str">
        <f t="shared" si="8"/>
        <v>HE07</v>
      </c>
      <c r="F529" s="5" t="s">
        <v>386</v>
      </c>
      <c r="G529" s="95" t="s">
        <v>632</v>
      </c>
      <c r="H529" s="96" t="s">
        <v>18</v>
      </c>
      <c r="I529" s="97">
        <v>8</v>
      </c>
      <c r="J529" s="97"/>
      <c r="K529" s="121" t="str">
        <f>IF(consolidado[[#This Row],[Observações]]="","Não","Sim")</f>
        <v>Não</v>
      </c>
      <c r="L529" s="119">
        <v>13</v>
      </c>
    </row>
    <row r="530" spans="1:12" ht="28.8" x14ac:dyDescent="0.3">
      <c r="A530" s="4" t="s">
        <v>584</v>
      </c>
      <c r="B530" s="4" t="s">
        <v>7</v>
      </c>
      <c r="C530" s="5" t="s">
        <v>384</v>
      </c>
      <c r="D530" s="5" t="s">
        <v>616</v>
      </c>
      <c r="E530" s="5" t="str">
        <f t="shared" si="8"/>
        <v>HE07</v>
      </c>
      <c r="F530" s="5" t="s">
        <v>386</v>
      </c>
      <c r="G530" s="95" t="s">
        <v>633</v>
      </c>
      <c r="H530" s="96" t="s">
        <v>20</v>
      </c>
      <c r="I530" s="97">
        <v>10</v>
      </c>
      <c r="J530" s="97"/>
      <c r="K530" s="121" t="str">
        <f>IF(consolidado[[#This Row],[Observações]]="","Não","Sim")</f>
        <v>Não</v>
      </c>
      <c r="L530" s="119">
        <v>13</v>
      </c>
    </row>
    <row r="531" spans="1:12" ht="28.8" x14ac:dyDescent="0.3">
      <c r="A531" s="4" t="s">
        <v>584</v>
      </c>
      <c r="B531" s="4" t="s">
        <v>7</v>
      </c>
      <c r="C531" s="5" t="s">
        <v>387</v>
      </c>
      <c r="D531" s="5" t="s">
        <v>617</v>
      </c>
      <c r="E531" s="5" t="str">
        <f t="shared" si="8"/>
        <v>HE08</v>
      </c>
      <c r="F531" s="5" t="s">
        <v>388</v>
      </c>
      <c r="G531" s="95" t="s">
        <v>634</v>
      </c>
      <c r="H531" s="96" t="s">
        <v>12</v>
      </c>
      <c r="I531" s="97">
        <v>0</v>
      </c>
      <c r="J531" s="97"/>
      <c r="K531" s="121" t="str">
        <f>IF(consolidado[[#This Row],[Observações]]="","Não","Sim")</f>
        <v>Não</v>
      </c>
      <c r="L531" s="119">
        <v>12</v>
      </c>
    </row>
    <row r="532" spans="1:12" ht="43.2" x14ac:dyDescent="0.3">
      <c r="A532" s="4" t="s">
        <v>584</v>
      </c>
      <c r="B532" s="4" t="s">
        <v>7</v>
      </c>
      <c r="C532" s="5" t="s">
        <v>387</v>
      </c>
      <c r="D532" s="5" t="s">
        <v>617</v>
      </c>
      <c r="E532" s="5" t="str">
        <f t="shared" si="8"/>
        <v>HE08</v>
      </c>
      <c r="F532" s="5" t="s">
        <v>388</v>
      </c>
      <c r="G532" s="95" t="s">
        <v>635</v>
      </c>
      <c r="H532" s="96" t="s">
        <v>14</v>
      </c>
      <c r="I532" s="97">
        <v>4</v>
      </c>
      <c r="J532" s="97"/>
      <c r="K532" s="121" t="str">
        <f>IF(consolidado[[#This Row],[Observações]]="","Não","Sim")</f>
        <v>Não</v>
      </c>
      <c r="L532" s="119">
        <v>12</v>
      </c>
    </row>
    <row r="533" spans="1:12" ht="43.2" x14ac:dyDescent="0.3">
      <c r="A533" s="4" t="s">
        <v>584</v>
      </c>
      <c r="B533" s="4" t="s">
        <v>7</v>
      </c>
      <c r="C533" s="5" t="s">
        <v>387</v>
      </c>
      <c r="D533" s="5" t="s">
        <v>617</v>
      </c>
      <c r="E533" s="5" t="str">
        <f t="shared" si="8"/>
        <v>HE08</v>
      </c>
      <c r="F533" s="5" t="s">
        <v>388</v>
      </c>
      <c r="G533" s="95" t="s">
        <v>636</v>
      </c>
      <c r="H533" s="96" t="s">
        <v>16</v>
      </c>
      <c r="I533" s="97">
        <v>6</v>
      </c>
      <c r="J533" s="97"/>
      <c r="K533" s="121" t="str">
        <f>IF(consolidado[[#This Row],[Observações]]="","Não","Sim")</f>
        <v>Não</v>
      </c>
      <c r="L533" s="119">
        <v>12</v>
      </c>
    </row>
    <row r="534" spans="1:12" ht="28.8" x14ac:dyDescent="0.3">
      <c r="A534" s="4" t="s">
        <v>584</v>
      </c>
      <c r="B534" s="4" t="s">
        <v>7</v>
      </c>
      <c r="C534" s="5" t="s">
        <v>387</v>
      </c>
      <c r="D534" s="5" t="s">
        <v>617</v>
      </c>
      <c r="E534" s="5" t="str">
        <f t="shared" si="8"/>
        <v>HE08</v>
      </c>
      <c r="F534" s="5" t="s">
        <v>388</v>
      </c>
      <c r="G534" s="95" t="s">
        <v>637</v>
      </c>
      <c r="H534" s="96" t="s">
        <v>18</v>
      </c>
      <c r="I534" s="97">
        <v>8</v>
      </c>
      <c r="J534" s="97"/>
      <c r="K534" s="121" t="str">
        <f>IF(consolidado[[#This Row],[Observações]]="","Não","Sim")</f>
        <v>Não</v>
      </c>
      <c r="L534" s="119">
        <v>12</v>
      </c>
    </row>
    <row r="535" spans="1:12" ht="28.8" x14ac:dyDescent="0.3">
      <c r="A535" s="4" t="s">
        <v>584</v>
      </c>
      <c r="B535" s="4" t="s">
        <v>7</v>
      </c>
      <c r="C535" s="5" t="s">
        <v>387</v>
      </c>
      <c r="D535" s="5" t="s">
        <v>617</v>
      </c>
      <c r="E535" s="5" t="str">
        <f t="shared" si="8"/>
        <v>HE08</v>
      </c>
      <c r="F535" s="5" t="s">
        <v>388</v>
      </c>
      <c r="G535" s="95" t="s">
        <v>638</v>
      </c>
      <c r="H535" s="96" t="s">
        <v>20</v>
      </c>
      <c r="I535" s="97">
        <v>10</v>
      </c>
      <c r="J535" s="97"/>
      <c r="K535" s="121" t="str">
        <f>IF(consolidado[[#This Row],[Observações]]="","Não","Sim")</f>
        <v>Não</v>
      </c>
      <c r="L535" s="119">
        <v>12</v>
      </c>
    </row>
    <row r="536" spans="1:12" ht="28.8" x14ac:dyDescent="0.3">
      <c r="A536" s="4" t="s">
        <v>584</v>
      </c>
      <c r="B536" s="4" t="s">
        <v>7</v>
      </c>
      <c r="C536" s="5" t="s">
        <v>387</v>
      </c>
      <c r="D536" s="5" t="s">
        <v>618</v>
      </c>
      <c r="E536" s="5" t="str">
        <f t="shared" si="8"/>
        <v>HE09</v>
      </c>
      <c r="F536" s="5" t="s">
        <v>389</v>
      </c>
      <c r="G536" s="95" t="s">
        <v>639</v>
      </c>
      <c r="H536" s="96" t="s">
        <v>12</v>
      </c>
      <c r="I536" s="97">
        <v>0</v>
      </c>
      <c r="J536" s="97"/>
      <c r="K536" s="121" t="str">
        <f>IF(consolidado[[#This Row],[Observações]]="","Não","Sim")</f>
        <v>Não</v>
      </c>
      <c r="L536" s="119">
        <v>12</v>
      </c>
    </row>
    <row r="537" spans="1:12" ht="28.8" x14ac:dyDescent="0.3">
      <c r="A537" s="4" t="s">
        <v>584</v>
      </c>
      <c r="B537" s="4" t="s">
        <v>7</v>
      </c>
      <c r="C537" s="5" t="s">
        <v>387</v>
      </c>
      <c r="D537" s="5" t="s">
        <v>618</v>
      </c>
      <c r="E537" s="5" t="str">
        <f t="shared" si="8"/>
        <v>HE09</v>
      </c>
      <c r="F537" s="5" t="s">
        <v>389</v>
      </c>
      <c r="G537" s="95" t="s">
        <v>640</v>
      </c>
      <c r="H537" s="106" t="s">
        <v>31</v>
      </c>
      <c r="I537" s="107">
        <v>0</v>
      </c>
      <c r="J537" s="107" t="s">
        <v>534</v>
      </c>
      <c r="K537" s="121" t="str">
        <f>IF(consolidado[[#This Row],[Observações]]="","Não","Sim")</f>
        <v>Sim</v>
      </c>
      <c r="L537" s="119">
        <v>12</v>
      </c>
    </row>
    <row r="538" spans="1:12" ht="28.8" x14ac:dyDescent="0.3">
      <c r="A538" s="4" t="s">
        <v>584</v>
      </c>
      <c r="B538" s="4" t="s">
        <v>100</v>
      </c>
      <c r="C538" s="10" t="s">
        <v>390</v>
      </c>
      <c r="D538" s="10" t="s">
        <v>551</v>
      </c>
      <c r="E538" s="5" t="str">
        <f t="shared" si="8"/>
        <v>HS01</v>
      </c>
      <c r="F538" s="10" t="s">
        <v>392</v>
      </c>
      <c r="G538" s="95" t="s">
        <v>641</v>
      </c>
      <c r="H538" s="96" t="s">
        <v>12</v>
      </c>
      <c r="I538" s="97">
        <v>0</v>
      </c>
      <c r="J538" s="97"/>
      <c r="K538" s="121" t="str">
        <f>IF(consolidado[[#This Row],[Observações]]="","Não","Sim")</f>
        <v>Não</v>
      </c>
      <c r="L538" s="119" t="s">
        <v>876</v>
      </c>
    </row>
    <row r="539" spans="1:12" ht="28.8" x14ac:dyDescent="0.3">
      <c r="A539" s="4" t="s">
        <v>584</v>
      </c>
      <c r="B539" s="4" t="s">
        <v>100</v>
      </c>
      <c r="C539" s="10" t="s">
        <v>390</v>
      </c>
      <c r="D539" s="10" t="s">
        <v>551</v>
      </c>
      <c r="E539" s="5" t="str">
        <f t="shared" si="8"/>
        <v>HS01</v>
      </c>
      <c r="F539" s="10" t="s">
        <v>392</v>
      </c>
      <c r="G539" s="95" t="s">
        <v>642</v>
      </c>
      <c r="H539" s="96" t="s">
        <v>31</v>
      </c>
      <c r="I539" s="97">
        <v>10</v>
      </c>
      <c r="J539" s="97"/>
      <c r="K539" s="121" t="str">
        <f>IF(consolidado[[#This Row],[Observações]]="","Não","Sim")</f>
        <v>Não</v>
      </c>
      <c r="L539" s="119" t="s">
        <v>876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DD10-F0E6-482E-8F23-90B4162D86ED}">
  <dimension ref="A1:J140"/>
  <sheetViews>
    <sheetView tabSelected="1" topLeftCell="A64" workbookViewId="0">
      <selection activeCell="C54" sqref="C54"/>
    </sheetView>
  </sheetViews>
  <sheetFormatPr defaultRowHeight="14.4" x14ac:dyDescent="0.3"/>
  <cols>
    <col min="2" max="2" width="24.109375" style="144" bestFit="1" customWidth="1"/>
    <col min="3" max="3" width="38.21875" style="144" bestFit="1" customWidth="1"/>
    <col min="4" max="4" width="9.88671875" style="144" bestFit="1" customWidth="1"/>
    <col min="5" max="5" width="9.88671875" style="144" customWidth="1"/>
    <col min="6" max="6" width="64.44140625" style="144" bestFit="1" customWidth="1"/>
    <col min="7" max="7" width="12.77734375" style="144" bestFit="1" customWidth="1"/>
    <col min="8" max="9" width="10.109375" style="144" bestFit="1" customWidth="1"/>
    <col min="10" max="10" width="9" style="144" bestFit="1" customWidth="1"/>
  </cols>
  <sheetData>
    <row r="1" spans="1:10" ht="26.4" x14ac:dyDescent="0.3">
      <c r="A1" s="137" t="s">
        <v>864</v>
      </c>
      <c r="B1" s="136" t="s">
        <v>0</v>
      </c>
      <c r="C1" s="136" t="s">
        <v>1</v>
      </c>
      <c r="D1" s="136" t="s">
        <v>2</v>
      </c>
      <c r="E1" s="1" t="s">
        <v>878</v>
      </c>
      <c r="F1" s="136" t="s">
        <v>3</v>
      </c>
      <c r="G1" s="137" t="s">
        <v>534</v>
      </c>
      <c r="H1" s="137" t="s">
        <v>587</v>
      </c>
      <c r="I1" s="137" t="s">
        <v>567</v>
      </c>
      <c r="J1" s="138" t="s">
        <v>513</v>
      </c>
    </row>
    <row r="2" spans="1:10" x14ac:dyDescent="0.3">
      <c r="A2" s="153" t="s">
        <v>865</v>
      </c>
      <c r="B2" s="139" t="s">
        <v>7</v>
      </c>
      <c r="C2" s="140" t="s">
        <v>8</v>
      </c>
      <c r="D2" s="140" t="s">
        <v>9</v>
      </c>
      <c r="E2" s="5" t="str">
        <f>SUBSTITUTE(D2," ","")</f>
        <v>GE01</v>
      </c>
      <c r="F2" s="140" t="s">
        <v>10</v>
      </c>
      <c r="G2" s="140" t="s">
        <v>879</v>
      </c>
      <c r="H2" s="140">
        <v>10</v>
      </c>
      <c r="I2" s="140"/>
      <c r="J2" s="141">
        <v>16</v>
      </c>
    </row>
    <row r="3" spans="1:10" x14ac:dyDescent="0.3">
      <c r="A3" s="153" t="s">
        <v>865</v>
      </c>
      <c r="B3" s="139" t="s">
        <v>7</v>
      </c>
      <c r="C3" s="140" t="s">
        <v>8</v>
      </c>
      <c r="D3" s="140" t="s">
        <v>21</v>
      </c>
      <c r="E3" s="5" t="str">
        <f t="shared" ref="E3:E66" si="0">SUBSTITUTE(D3," ","")</f>
        <v>GE02</v>
      </c>
      <c r="F3" s="140" t="s">
        <v>22</v>
      </c>
      <c r="G3" s="140" t="s">
        <v>879</v>
      </c>
      <c r="H3" s="140">
        <v>10</v>
      </c>
      <c r="I3" s="140"/>
      <c r="J3" s="141">
        <v>16</v>
      </c>
    </row>
    <row r="4" spans="1:10" x14ac:dyDescent="0.3">
      <c r="A4" s="153" t="s">
        <v>865</v>
      </c>
      <c r="B4" s="139" t="s">
        <v>7</v>
      </c>
      <c r="C4" s="140" t="s">
        <v>8</v>
      </c>
      <c r="D4" s="140" t="s">
        <v>27</v>
      </c>
      <c r="E4" s="5" t="str">
        <f t="shared" si="0"/>
        <v>GE03</v>
      </c>
      <c r="F4" s="140" t="s">
        <v>28</v>
      </c>
      <c r="G4" s="140" t="s">
        <v>879</v>
      </c>
      <c r="H4" s="140">
        <v>0</v>
      </c>
      <c r="I4" s="140"/>
      <c r="J4" s="141">
        <v>6</v>
      </c>
    </row>
    <row r="5" spans="1:10" x14ac:dyDescent="0.3">
      <c r="A5" s="153" t="s">
        <v>865</v>
      </c>
      <c r="B5" s="139" t="s">
        <v>7</v>
      </c>
      <c r="C5" s="140" t="s">
        <v>8</v>
      </c>
      <c r="D5" s="140" t="s">
        <v>32</v>
      </c>
      <c r="E5" s="5" t="str">
        <f t="shared" si="0"/>
        <v>GE04</v>
      </c>
      <c r="F5" s="140" t="s">
        <v>33</v>
      </c>
      <c r="G5" s="140" t="s">
        <v>879</v>
      </c>
      <c r="H5" s="140">
        <v>10</v>
      </c>
      <c r="I5" s="140"/>
      <c r="J5" s="141">
        <v>16</v>
      </c>
    </row>
    <row r="6" spans="1:10" x14ac:dyDescent="0.3">
      <c r="A6" s="153" t="s">
        <v>865</v>
      </c>
      <c r="B6" s="139" t="s">
        <v>7</v>
      </c>
      <c r="C6" s="140" t="s">
        <v>37</v>
      </c>
      <c r="D6" s="140" t="s">
        <v>38</v>
      </c>
      <c r="E6" s="5" t="str">
        <f t="shared" si="0"/>
        <v>GE05</v>
      </c>
      <c r="F6" s="140" t="s">
        <v>39</v>
      </c>
      <c r="G6" s="140" t="s">
        <v>879</v>
      </c>
      <c r="H6" s="140">
        <v>10</v>
      </c>
      <c r="I6" s="140"/>
      <c r="J6" s="141">
        <v>7</v>
      </c>
    </row>
    <row r="7" spans="1:10" x14ac:dyDescent="0.3">
      <c r="A7" s="153" t="s">
        <v>865</v>
      </c>
      <c r="B7" s="139" t="s">
        <v>7</v>
      </c>
      <c r="C7" s="140" t="s">
        <v>37</v>
      </c>
      <c r="D7" s="140" t="s">
        <v>45</v>
      </c>
      <c r="E7" s="5" t="str">
        <f t="shared" si="0"/>
        <v>GE06</v>
      </c>
      <c r="F7" s="140" t="s">
        <v>46</v>
      </c>
      <c r="G7" s="140" t="s">
        <v>880</v>
      </c>
      <c r="H7" s="140">
        <v>10</v>
      </c>
      <c r="I7" s="140"/>
      <c r="J7" s="141">
        <v>7</v>
      </c>
    </row>
    <row r="8" spans="1:10" x14ac:dyDescent="0.3">
      <c r="A8" s="153" t="s">
        <v>865</v>
      </c>
      <c r="B8" s="139" t="s">
        <v>7</v>
      </c>
      <c r="C8" s="140" t="s">
        <v>52</v>
      </c>
      <c r="D8" s="140" t="s">
        <v>53</v>
      </c>
      <c r="E8" s="5" t="str">
        <f t="shared" si="0"/>
        <v>GE07</v>
      </c>
      <c r="F8" s="140" t="s">
        <v>54</v>
      </c>
      <c r="G8" s="140" t="s">
        <v>879</v>
      </c>
      <c r="H8" s="140">
        <v>10</v>
      </c>
      <c r="I8" s="140"/>
      <c r="J8" s="141">
        <v>6</v>
      </c>
    </row>
    <row r="9" spans="1:10" x14ac:dyDescent="0.3">
      <c r="A9" s="153" t="s">
        <v>865</v>
      </c>
      <c r="B9" s="139" t="s">
        <v>7</v>
      </c>
      <c r="C9" s="140" t="s">
        <v>52</v>
      </c>
      <c r="D9" s="140" t="s">
        <v>60</v>
      </c>
      <c r="E9" s="5" t="str">
        <f t="shared" si="0"/>
        <v>GE08</v>
      </c>
      <c r="F9" s="140" t="s">
        <v>61</v>
      </c>
      <c r="G9" s="140" t="s">
        <v>879</v>
      </c>
      <c r="H9" s="140">
        <v>10</v>
      </c>
      <c r="I9" s="140"/>
      <c r="J9" s="141">
        <v>6</v>
      </c>
    </row>
    <row r="10" spans="1:10" x14ac:dyDescent="0.3">
      <c r="A10" s="153" t="s">
        <v>865</v>
      </c>
      <c r="B10" s="139" t="s">
        <v>7</v>
      </c>
      <c r="C10" s="140" t="s">
        <v>52</v>
      </c>
      <c r="D10" s="140" t="s">
        <v>66</v>
      </c>
      <c r="E10" s="5" t="str">
        <f t="shared" si="0"/>
        <v>GE09</v>
      </c>
      <c r="F10" s="140" t="s">
        <v>67</v>
      </c>
      <c r="G10" s="140" t="s">
        <v>880</v>
      </c>
      <c r="H10" s="140">
        <v>10</v>
      </c>
      <c r="I10" s="140"/>
      <c r="J10" s="141">
        <v>6</v>
      </c>
    </row>
    <row r="11" spans="1:10" x14ac:dyDescent="0.3">
      <c r="A11" s="153" t="s">
        <v>865</v>
      </c>
      <c r="B11" s="139" t="s">
        <v>7</v>
      </c>
      <c r="C11" s="142" t="s">
        <v>866</v>
      </c>
      <c r="D11" s="140" t="s">
        <v>71</v>
      </c>
      <c r="E11" s="5" t="str">
        <f t="shared" si="0"/>
        <v>GE10</v>
      </c>
      <c r="F11" s="140" t="s">
        <v>72</v>
      </c>
      <c r="G11" s="140" t="s">
        <v>879</v>
      </c>
      <c r="H11" s="140">
        <v>10</v>
      </c>
      <c r="I11" s="140"/>
      <c r="J11" s="141">
        <v>12</v>
      </c>
    </row>
    <row r="12" spans="1:10" x14ac:dyDescent="0.3">
      <c r="A12" s="153" t="s">
        <v>865</v>
      </c>
      <c r="B12" s="139" t="s">
        <v>7</v>
      </c>
      <c r="C12" s="142" t="s">
        <v>866</v>
      </c>
      <c r="D12" s="140" t="s">
        <v>77</v>
      </c>
      <c r="E12" s="5" t="str">
        <f t="shared" si="0"/>
        <v>GE11</v>
      </c>
      <c r="F12" s="140" t="s">
        <v>78</v>
      </c>
      <c r="G12" s="140" t="s">
        <v>879</v>
      </c>
      <c r="H12" s="140">
        <v>0</v>
      </c>
      <c r="I12" s="140"/>
      <c r="J12" s="141">
        <v>12</v>
      </c>
    </row>
    <row r="13" spans="1:10" x14ac:dyDescent="0.3">
      <c r="A13" s="153" t="s">
        <v>865</v>
      </c>
      <c r="B13" s="139" t="s">
        <v>7</v>
      </c>
      <c r="C13" s="142" t="s">
        <v>866</v>
      </c>
      <c r="D13" s="140" t="s">
        <v>81</v>
      </c>
      <c r="E13" s="5" t="str">
        <f t="shared" si="0"/>
        <v>GE12</v>
      </c>
      <c r="F13" s="140" t="s">
        <v>82</v>
      </c>
      <c r="G13" s="140" t="s">
        <v>879</v>
      </c>
      <c r="H13" s="140">
        <v>10</v>
      </c>
      <c r="I13" s="140"/>
      <c r="J13" s="141">
        <v>12</v>
      </c>
    </row>
    <row r="14" spans="1:10" x14ac:dyDescent="0.3">
      <c r="A14" s="153" t="s">
        <v>865</v>
      </c>
      <c r="B14" s="139" t="s">
        <v>7</v>
      </c>
      <c r="C14" s="142" t="s">
        <v>867</v>
      </c>
      <c r="D14" s="140" t="s">
        <v>87</v>
      </c>
      <c r="E14" s="5" t="str">
        <f t="shared" si="0"/>
        <v>GE13</v>
      </c>
      <c r="F14" s="140" t="s">
        <v>88</v>
      </c>
      <c r="G14" s="140" t="s">
        <v>880</v>
      </c>
      <c r="H14" s="140">
        <v>10</v>
      </c>
      <c r="I14" s="140"/>
      <c r="J14" s="141">
        <v>13</v>
      </c>
    </row>
    <row r="15" spans="1:10" x14ac:dyDescent="0.3">
      <c r="A15" s="153" t="s">
        <v>865</v>
      </c>
      <c r="B15" s="139" t="s">
        <v>7</v>
      </c>
      <c r="C15" s="142" t="s">
        <v>867</v>
      </c>
      <c r="D15" s="140" t="s">
        <v>94</v>
      </c>
      <c r="E15" s="5" t="str">
        <f t="shared" si="0"/>
        <v>GE14</v>
      </c>
      <c r="F15" s="140" t="s">
        <v>95</v>
      </c>
      <c r="G15" s="140" t="s">
        <v>880</v>
      </c>
      <c r="H15" s="140">
        <v>10</v>
      </c>
      <c r="I15" s="143">
        <f>SUM(H2:H15)</f>
        <v>120</v>
      </c>
      <c r="J15" s="141">
        <v>13</v>
      </c>
    </row>
    <row r="16" spans="1:10" x14ac:dyDescent="0.3">
      <c r="A16" s="153" t="s">
        <v>865</v>
      </c>
      <c r="B16" s="139" t="s">
        <v>100</v>
      </c>
      <c r="C16" s="140" t="s">
        <v>8</v>
      </c>
      <c r="D16" s="140" t="s">
        <v>101</v>
      </c>
      <c r="E16" s="5" t="str">
        <f t="shared" si="0"/>
        <v>GS01</v>
      </c>
      <c r="F16" s="140" t="s">
        <v>102</v>
      </c>
      <c r="G16" s="140" t="s">
        <v>879</v>
      </c>
      <c r="H16" s="140">
        <v>0</v>
      </c>
      <c r="I16" s="140"/>
      <c r="J16" s="141">
        <v>16</v>
      </c>
    </row>
    <row r="17" spans="1:10" x14ac:dyDescent="0.3">
      <c r="A17" s="153" t="s">
        <v>865</v>
      </c>
      <c r="B17" s="139" t="s">
        <v>100</v>
      </c>
      <c r="C17" s="140" t="s">
        <v>8</v>
      </c>
      <c r="D17" s="140" t="s">
        <v>105</v>
      </c>
      <c r="E17" s="5" t="str">
        <f t="shared" si="0"/>
        <v>GS02</v>
      </c>
      <c r="F17" s="140" t="s">
        <v>106</v>
      </c>
      <c r="G17" s="140" t="s">
        <v>879</v>
      </c>
      <c r="H17" s="140">
        <v>0</v>
      </c>
      <c r="I17" s="140"/>
      <c r="J17" s="141">
        <v>16</v>
      </c>
    </row>
    <row r="18" spans="1:10" x14ac:dyDescent="0.3">
      <c r="A18" s="153" t="s">
        <v>865</v>
      </c>
      <c r="B18" s="139" t="s">
        <v>100</v>
      </c>
      <c r="C18" s="140" t="s">
        <v>8</v>
      </c>
      <c r="D18" s="140" t="s">
        <v>109</v>
      </c>
      <c r="E18" s="5" t="str">
        <f t="shared" si="0"/>
        <v>GS03</v>
      </c>
      <c r="F18" s="140" t="s">
        <v>110</v>
      </c>
      <c r="G18" s="140" t="s">
        <v>879</v>
      </c>
      <c r="H18" s="140">
        <v>0</v>
      </c>
      <c r="I18" s="140"/>
      <c r="J18" s="141">
        <v>8</v>
      </c>
    </row>
    <row r="19" spans="1:10" x14ac:dyDescent="0.3">
      <c r="A19" s="153" t="s">
        <v>865</v>
      </c>
      <c r="B19" s="139" t="s">
        <v>100</v>
      </c>
      <c r="C19" s="140" t="s">
        <v>8</v>
      </c>
      <c r="D19" s="140" t="s">
        <v>113</v>
      </c>
      <c r="E19" s="5" t="str">
        <f t="shared" si="0"/>
        <v>GS04</v>
      </c>
      <c r="F19" s="140" t="s">
        <v>588</v>
      </c>
      <c r="G19" s="140" t="s">
        <v>879</v>
      </c>
      <c r="H19" s="140">
        <v>0</v>
      </c>
      <c r="I19" s="140"/>
      <c r="J19" s="141">
        <v>8</v>
      </c>
    </row>
    <row r="20" spans="1:10" x14ac:dyDescent="0.3">
      <c r="A20" s="153" t="s">
        <v>865</v>
      </c>
      <c r="B20" s="139" t="s">
        <v>100</v>
      </c>
      <c r="C20" s="140" t="s">
        <v>8</v>
      </c>
      <c r="D20" s="140" t="s">
        <v>117</v>
      </c>
      <c r="E20" s="5" t="str">
        <f t="shared" si="0"/>
        <v>GS05</v>
      </c>
      <c r="F20" s="140" t="s">
        <v>118</v>
      </c>
      <c r="G20" s="140" t="s">
        <v>879</v>
      </c>
      <c r="H20" s="140">
        <v>0</v>
      </c>
      <c r="I20" s="140"/>
      <c r="J20" s="141">
        <v>8</v>
      </c>
    </row>
    <row r="21" spans="1:10" x14ac:dyDescent="0.3">
      <c r="A21" s="153" t="s">
        <v>865</v>
      </c>
      <c r="B21" s="139" t="s">
        <v>100</v>
      </c>
      <c r="C21" s="140" t="s">
        <v>8</v>
      </c>
      <c r="D21" s="140" t="s">
        <v>121</v>
      </c>
      <c r="E21" s="5" t="str">
        <f t="shared" si="0"/>
        <v>GS06</v>
      </c>
      <c r="F21" s="140" t="s">
        <v>122</v>
      </c>
      <c r="G21" s="140" t="s">
        <v>879</v>
      </c>
      <c r="H21" s="140">
        <v>0</v>
      </c>
      <c r="I21" s="140"/>
      <c r="J21" s="141">
        <v>8</v>
      </c>
    </row>
    <row r="22" spans="1:10" x14ac:dyDescent="0.3">
      <c r="A22" s="153" t="s">
        <v>865</v>
      </c>
      <c r="B22" s="139" t="s">
        <v>100</v>
      </c>
      <c r="C22" s="140" t="s">
        <v>8</v>
      </c>
      <c r="D22" s="140" t="s">
        <v>125</v>
      </c>
      <c r="E22" s="5" t="str">
        <f t="shared" si="0"/>
        <v>GS07</v>
      </c>
      <c r="F22" s="140" t="s">
        <v>126</v>
      </c>
      <c r="G22" s="140" t="s">
        <v>879</v>
      </c>
      <c r="H22" s="140">
        <v>0</v>
      </c>
      <c r="I22" s="140"/>
      <c r="J22" s="141" t="s">
        <v>602</v>
      </c>
    </row>
    <row r="23" spans="1:10" x14ac:dyDescent="0.3">
      <c r="A23" s="153" t="s">
        <v>865</v>
      </c>
      <c r="B23" s="139" t="s">
        <v>100</v>
      </c>
      <c r="C23" s="140" t="s">
        <v>868</v>
      </c>
      <c r="D23" s="140" t="s">
        <v>129</v>
      </c>
      <c r="E23" s="5" t="str">
        <f t="shared" si="0"/>
        <v>GS08</v>
      </c>
      <c r="F23" s="140" t="s">
        <v>130</v>
      </c>
      <c r="G23" s="140" t="s">
        <v>879</v>
      </c>
      <c r="H23" s="140">
        <v>10</v>
      </c>
      <c r="I23" s="140"/>
      <c r="J23" s="141">
        <v>8</v>
      </c>
    </row>
    <row r="24" spans="1:10" x14ac:dyDescent="0.3">
      <c r="A24" s="153" t="s">
        <v>865</v>
      </c>
      <c r="B24" s="139" t="s">
        <v>100</v>
      </c>
      <c r="C24" s="140" t="s">
        <v>868</v>
      </c>
      <c r="D24" s="140" t="s">
        <v>136</v>
      </c>
      <c r="E24" s="5" t="str">
        <f t="shared" si="0"/>
        <v>GS09</v>
      </c>
      <c r="F24" s="140" t="s">
        <v>137</v>
      </c>
      <c r="G24" s="140" t="s">
        <v>879</v>
      </c>
      <c r="H24" s="140">
        <v>0</v>
      </c>
      <c r="I24" s="140"/>
      <c r="J24" s="141">
        <v>8</v>
      </c>
    </row>
    <row r="25" spans="1:10" x14ac:dyDescent="0.3">
      <c r="A25" s="153" t="s">
        <v>865</v>
      </c>
      <c r="B25" s="139" t="s">
        <v>100</v>
      </c>
      <c r="C25" s="140" t="s">
        <v>868</v>
      </c>
      <c r="D25" s="140" t="s">
        <v>140</v>
      </c>
      <c r="E25" s="5" t="str">
        <f t="shared" si="0"/>
        <v>GS10</v>
      </c>
      <c r="F25" s="140" t="s">
        <v>141</v>
      </c>
      <c r="G25" s="140" t="s">
        <v>879</v>
      </c>
      <c r="H25" s="140">
        <v>10</v>
      </c>
      <c r="I25" s="140"/>
      <c r="J25" s="141">
        <v>8</v>
      </c>
    </row>
    <row r="26" spans="1:10" x14ac:dyDescent="0.3">
      <c r="A26" s="153" t="s">
        <v>865</v>
      </c>
      <c r="B26" s="139" t="s">
        <v>100</v>
      </c>
      <c r="C26" s="140" t="s">
        <v>868</v>
      </c>
      <c r="D26" s="140" t="s">
        <v>146</v>
      </c>
      <c r="E26" s="5" t="str">
        <f t="shared" si="0"/>
        <v>GS11</v>
      </c>
      <c r="F26" s="140" t="s">
        <v>147</v>
      </c>
      <c r="G26" s="140" t="s">
        <v>880</v>
      </c>
      <c r="H26" s="140">
        <v>10</v>
      </c>
      <c r="I26" s="140"/>
      <c r="J26" s="141">
        <v>8</v>
      </c>
    </row>
    <row r="27" spans="1:10" x14ac:dyDescent="0.3">
      <c r="A27" s="153" t="s">
        <v>865</v>
      </c>
      <c r="B27" s="139" t="s">
        <v>100</v>
      </c>
      <c r="C27" s="140" t="s">
        <v>152</v>
      </c>
      <c r="D27" s="140" t="s">
        <v>153</v>
      </c>
      <c r="E27" s="5" t="str">
        <f t="shared" si="0"/>
        <v>GS12</v>
      </c>
      <c r="F27" s="140" t="s">
        <v>154</v>
      </c>
      <c r="G27" s="140" t="s">
        <v>879</v>
      </c>
      <c r="H27" s="140">
        <v>10</v>
      </c>
      <c r="I27" s="140"/>
      <c r="J27" s="141">
        <v>8</v>
      </c>
    </row>
    <row r="28" spans="1:10" x14ac:dyDescent="0.3">
      <c r="A28" s="153" t="s">
        <v>865</v>
      </c>
      <c r="B28" s="139" t="s">
        <v>100</v>
      </c>
      <c r="C28" s="140" t="s">
        <v>152</v>
      </c>
      <c r="D28" s="140" t="s">
        <v>158</v>
      </c>
      <c r="E28" s="5" t="str">
        <f t="shared" si="0"/>
        <v>GS13</v>
      </c>
      <c r="F28" s="140" t="s">
        <v>159</v>
      </c>
      <c r="G28" s="140" t="s">
        <v>880</v>
      </c>
      <c r="H28" s="140">
        <v>10</v>
      </c>
      <c r="I28" s="140"/>
      <c r="J28" s="141">
        <v>8</v>
      </c>
    </row>
    <row r="29" spans="1:10" x14ac:dyDescent="0.3">
      <c r="A29" s="153" t="s">
        <v>865</v>
      </c>
      <c r="B29" s="139" t="s">
        <v>100</v>
      </c>
      <c r="C29" s="140" t="s">
        <v>152</v>
      </c>
      <c r="D29" s="140" t="s">
        <v>164</v>
      </c>
      <c r="E29" s="5" t="str">
        <f t="shared" si="0"/>
        <v>GS14</v>
      </c>
      <c r="F29" s="140" t="s">
        <v>165</v>
      </c>
      <c r="G29" s="140" t="s">
        <v>879</v>
      </c>
      <c r="H29" s="140">
        <v>10</v>
      </c>
      <c r="I29" s="140"/>
      <c r="J29" s="141">
        <v>8</v>
      </c>
    </row>
    <row r="30" spans="1:10" x14ac:dyDescent="0.3">
      <c r="A30" s="153" t="s">
        <v>865</v>
      </c>
      <c r="B30" s="139" t="s">
        <v>100</v>
      </c>
      <c r="C30" s="142" t="s">
        <v>869</v>
      </c>
      <c r="D30" s="140" t="s">
        <v>169</v>
      </c>
      <c r="E30" s="5" t="str">
        <f t="shared" si="0"/>
        <v>GS15</v>
      </c>
      <c r="F30" s="140" t="s">
        <v>170</v>
      </c>
      <c r="G30" s="140" t="s">
        <v>879</v>
      </c>
      <c r="H30" s="140">
        <v>10</v>
      </c>
      <c r="I30" s="140"/>
      <c r="J30" s="141">
        <v>10</v>
      </c>
    </row>
    <row r="31" spans="1:10" x14ac:dyDescent="0.3">
      <c r="A31" s="153" t="s">
        <v>865</v>
      </c>
      <c r="B31" s="139" t="s">
        <v>100</v>
      </c>
      <c r="C31" s="142" t="s">
        <v>869</v>
      </c>
      <c r="D31" s="140" t="s">
        <v>176</v>
      </c>
      <c r="E31" s="5" t="str">
        <f t="shared" si="0"/>
        <v>GS16</v>
      </c>
      <c r="F31" s="140" t="s">
        <v>177</v>
      </c>
      <c r="G31" s="140" t="s">
        <v>880</v>
      </c>
      <c r="H31" s="140">
        <v>10</v>
      </c>
      <c r="I31" s="140"/>
      <c r="J31" s="141" t="s">
        <v>603</v>
      </c>
    </row>
    <row r="32" spans="1:10" x14ac:dyDescent="0.3">
      <c r="A32" s="153" t="s">
        <v>865</v>
      </c>
      <c r="B32" s="139" t="s">
        <v>100</v>
      </c>
      <c r="C32" s="142" t="s">
        <v>869</v>
      </c>
      <c r="D32" s="140" t="s">
        <v>182</v>
      </c>
      <c r="E32" s="5" t="str">
        <f t="shared" si="0"/>
        <v>GS17</v>
      </c>
      <c r="F32" s="140" t="s">
        <v>183</v>
      </c>
      <c r="G32" s="140" t="s">
        <v>879</v>
      </c>
      <c r="H32" s="140">
        <v>10</v>
      </c>
      <c r="I32" s="140"/>
      <c r="J32" s="141">
        <v>10</v>
      </c>
    </row>
    <row r="33" spans="1:10" x14ac:dyDescent="0.3">
      <c r="A33" s="153" t="s">
        <v>865</v>
      </c>
      <c r="B33" s="139" t="s">
        <v>100</v>
      </c>
      <c r="C33" s="140" t="s">
        <v>188</v>
      </c>
      <c r="D33" s="140" t="s">
        <v>189</v>
      </c>
      <c r="E33" s="5" t="str">
        <f t="shared" si="0"/>
        <v>GS18</v>
      </c>
      <c r="F33" s="140" t="s">
        <v>190</v>
      </c>
      <c r="G33" s="140" t="s">
        <v>879</v>
      </c>
      <c r="H33" s="140">
        <v>10</v>
      </c>
      <c r="I33" s="140"/>
      <c r="J33" s="141">
        <v>8</v>
      </c>
    </row>
    <row r="34" spans="1:10" x14ac:dyDescent="0.3">
      <c r="A34" s="153" t="s">
        <v>865</v>
      </c>
      <c r="B34" s="139" t="s">
        <v>100</v>
      </c>
      <c r="C34" s="140" t="s">
        <v>188</v>
      </c>
      <c r="D34" s="140" t="s">
        <v>195</v>
      </c>
      <c r="E34" s="5" t="str">
        <f t="shared" si="0"/>
        <v>GS19</v>
      </c>
      <c r="F34" s="140" t="s">
        <v>196</v>
      </c>
      <c r="G34" s="140" t="s">
        <v>879</v>
      </c>
      <c r="H34" s="140">
        <v>10</v>
      </c>
      <c r="I34" s="140"/>
      <c r="J34" s="141">
        <v>8</v>
      </c>
    </row>
    <row r="35" spans="1:10" x14ac:dyDescent="0.3">
      <c r="A35" s="153" t="s">
        <v>865</v>
      </c>
      <c r="B35" s="139" t="s">
        <v>100</v>
      </c>
      <c r="C35" s="140" t="s">
        <v>188</v>
      </c>
      <c r="D35" s="140" t="s">
        <v>202</v>
      </c>
      <c r="E35" s="5" t="str">
        <f t="shared" si="0"/>
        <v>GS20</v>
      </c>
      <c r="F35" s="140" t="s">
        <v>203</v>
      </c>
      <c r="G35" s="140" t="s">
        <v>880</v>
      </c>
      <c r="H35" s="140">
        <v>10</v>
      </c>
      <c r="I35" s="140"/>
      <c r="J35" s="141">
        <v>8</v>
      </c>
    </row>
    <row r="36" spans="1:10" x14ac:dyDescent="0.3">
      <c r="A36" s="153" t="s">
        <v>865</v>
      </c>
      <c r="B36" s="139" t="s">
        <v>100</v>
      </c>
      <c r="C36" s="140" t="s">
        <v>188</v>
      </c>
      <c r="D36" s="140" t="s">
        <v>209</v>
      </c>
      <c r="E36" s="5" t="str">
        <f t="shared" si="0"/>
        <v>GS21</v>
      </c>
      <c r="F36" s="140" t="s">
        <v>210</v>
      </c>
      <c r="G36" s="140" t="s">
        <v>879</v>
      </c>
      <c r="H36" s="140">
        <v>10</v>
      </c>
      <c r="I36" s="140"/>
      <c r="J36" s="141" t="s">
        <v>604</v>
      </c>
    </row>
    <row r="37" spans="1:10" x14ac:dyDescent="0.3">
      <c r="A37" s="153" t="s">
        <v>865</v>
      </c>
      <c r="B37" s="139" t="s">
        <v>100</v>
      </c>
      <c r="C37" s="140" t="s">
        <v>216</v>
      </c>
      <c r="D37" s="140" t="s">
        <v>217</v>
      </c>
      <c r="E37" s="5" t="str">
        <f t="shared" si="0"/>
        <v>GS22</v>
      </c>
      <c r="F37" s="140" t="s">
        <v>218</v>
      </c>
      <c r="G37" s="140" t="s">
        <v>880</v>
      </c>
      <c r="H37" s="140">
        <v>10</v>
      </c>
      <c r="I37" s="140"/>
      <c r="J37" s="141">
        <v>10</v>
      </c>
    </row>
    <row r="38" spans="1:10" x14ac:dyDescent="0.3">
      <c r="A38" s="153" t="s">
        <v>865</v>
      </c>
      <c r="B38" s="139" t="s">
        <v>100</v>
      </c>
      <c r="C38" s="140" t="s">
        <v>216</v>
      </c>
      <c r="D38" s="140" t="s">
        <v>225</v>
      </c>
      <c r="E38" s="5" t="str">
        <f t="shared" si="0"/>
        <v>GS23</v>
      </c>
      <c r="F38" s="140" t="s">
        <v>559</v>
      </c>
      <c r="G38" s="140" t="s">
        <v>880</v>
      </c>
      <c r="H38" s="140">
        <v>10</v>
      </c>
      <c r="I38" s="140"/>
      <c r="J38" s="141">
        <v>10</v>
      </c>
    </row>
    <row r="39" spans="1:10" x14ac:dyDescent="0.3">
      <c r="A39" s="153" t="s">
        <v>865</v>
      </c>
      <c r="B39" s="139" t="s">
        <v>100</v>
      </c>
      <c r="C39" s="140" t="s">
        <v>224</v>
      </c>
      <c r="D39" s="140" t="s">
        <v>232</v>
      </c>
      <c r="E39" s="5" t="str">
        <f t="shared" si="0"/>
        <v>GS24</v>
      </c>
      <c r="F39" s="140" t="s">
        <v>226</v>
      </c>
      <c r="G39" s="140" t="s">
        <v>879</v>
      </c>
      <c r="H39" s="140">
        <v>10</v>
      </c>
      <c r="I39" s="140"/>
      <c r="J39" s="141" t="s">
        <v>605</v>
      </c>
    </row>
    <row r="40" spans="1:10" x14ac:dyDescent="0.3">
      <c r="A40" s="153" t="s">
        <v>865</v>
      </c>
      <c r="B40" s="139" t="s">
        <v>100</v>
      </c>
      <c r="C40" s="140" t="s">
        <v>231</v>
      </c>
      <c r="D40" s="140" t="s">
        <v>560</v>
      </c>
      <c r="E40" s="5" t="str">
        <f t="shared" si="0"/>
        <v>GS25</v>
      </c>
      <c r="F40" s="140" t="s">
        <v>233</v>
      </c>
      <c r="G40" s="140" t="s">
        <v>880</v>
      </c>
      <c r="H40" s="140">
        <v>10</v>
      </c>
      <c r="I40" s="143">
        <f>SUM(H16:H40)</f>
        <v>170</v>
      </c>
      <c r="J40" s="141">
        <v>16</v>
      </c>
    </row>
    <row r="41" spans="1:10" x14ac:dyDescent="0.3">
      <c r="A41" s="153" t="s">
        <v>865</v>
      </c>
      <c r="B41" s="139" t="s">
        <v>239</v>
      </c>
      <c r="C41" s="140" t="s">
        <v>240</v>
      </c>
      <c r="D41" s="140" t="s">
        <v>241</v>
      </c>
      <c r="E41" s="5" t="str">
        <f t="shared" si="0"/>
        <v>GG01</v>
      </c>
      <c r="F41" s="140" t="s">
        <v>242</v>
      </c>
      <c r="G41" s="140" t="s">
        <v>880</v>
      </c>
      <c r="H41" s="140">
        <v>10</v>
      </c>
      <c r="I41" s="140"/>
      <c r="J41" s="141" t="s">
        <v>606</v>
      </c>
    </row>
    <row r="42" spans="1:10" x14ac:dyDescent="0.3">
      <c r="A42" s="153" t="s">
        <v>865</v>
      </c>
      <c r="B42" s="139" t="s">
        <v>239</v>
      </c>
      <c r="C42" s="140" t="s">
        <v>240</v>
      </c>
      <c r="D42" s="140" t="s">
        <v>247</v>
      </c>
      <c r="E42" s="5" t="str">
        <f t="shared" si="0"/>
        <v>GG02</v>
      </c>
      <c r="F42" s="140" t="s">
        <v>248</v>
      </c>
      <c r="G42" s="140" t="s">
        <v>880</v>
      </c>
      <c r="H42" s="140">
        <v>10</v>
      </c>
      <c r="I42" s="140"/>
      <c r="J42" s="141" t="s">
        <v>606</v>
      </c>
    </row>
    <row r="43" spans="1:10" x14ac:dyDescent="0.3">
      <c r="A43" s="153" t="s">
        <v>865</v>
      </c>
      <c r="B43" s="139" t="s">
        <v>239</v>
      </c>
      <c r="C43" s="140" t="s">
        <v>240</v>
      </c>
      <c r="D43" s="140" t="s">
        <v>254</v>
      </c>
      <c r="E43" s="5" t="str">
        <f t="shared" si="0"/>
        <v>GG03</v>
      </c>
      <c r="F43" s="140" t="s">
        <v>255</v>
      </c>
      <c r="G43" s="140" t="s">
        <v>880</v>
      </c>
      <c r="H43" s="140">
        <v>10</v>
      </c>
      <c r="I43" s="140"/>
      <c r="J43" s="141">
        <v>17</v>
      </c>
    </row>
    <row r="44" spans="1:10" x14ac:dyDescent="0.3">
      <c r="A44" s="153" t="s">
        <v>865</v>
      </c>
      <c r="B44" s="139" t="s">
        <v>239</v>
      </c>
      <c r="C44" s="140" t="s">
        <v>240</v>
      </c>
      <c r="D44" s="140" t="s">
        <v>260</v>
      </c>
      <c r="E44" s="5" t="str">
        <f t="shared" si="0"/>
        <v>GG04</v>
      </c>
      <c r="F44" s="140" t="s">
        <v>261</v>
      </c>
      <c r="G44" s="140" t="s">
        <v>880</v>
      </c>
      <c r="H44" s="140">
        <v>10</v>
      </c>
      <c r="I44" s="140"/>
      <c r="J44" s="141">
        <v>17</v>
      </c>
    </row>
    <row r="45" spans="1:10" x14ac:dyDescent="0.3">
      <c r="A45" s="153" t="s">
        <v>865</v>
      </c>
      <c r="B45" s="139" t="s">
        <v>239</v>
      </c>
      <c r="C45" s="140" t="s">
        <v>8</v>
      </c>
      <c r="D45" s="140" t="s">
        <v>267</v>
      </c>
      <c r="E45" s="5" t="str">
        <f t="shared" si="0"/>
        <v>GG05</v>
      </c>
      <c r="F45" s="140" t="s">
        <v>268</v>
      </c>
      <c r="G45" s="140" t="s">
        <v>880</v>
      </c>
      <c r="H45" s="140">
        <v>10</v>
      </c>
      <c r="I45" s="140"/>
      <c r="J45" s="141">
        <v>16</v>
      </c>
    </row>
    <row r="46" spans="1:10" x14ac:dyDescent="0.3">
      <c r="A46" s="153" t="s">
        <v>865</v>
      </c>
      <c r="B46" s="139" t="s">
        <v>239</v>
      </c>
      <c r="C46" s="140" t="s">
        <v>8</v>
      </c>
      <c r="D46" s="140" t="s">
        <v>273</v>
      </c>
      <c r="E46" s="5" t="str">
        <f t="shared" si="0"/>
        <v>GG06</v>
      </c>
      <c r="F46" s="140" t="s">
        <v>274</v>
      </c>
      <c r="G46" s="140" t="s">
        <v>880</v>
      </c>
      <c r="H46" s="140">
        <v>10</v>
      </c>
      <c r="I46" s="140"/>
      <c r="J46" s="141" t="s">
        <v>607</v>
      </c>
    </row>
    <row r="47" spans="1:10" x14ac:dyDescent="0.3">
      <c r="A47" s="153" t="s">
        <v>865</v>
      </c>
      <c r="B47" s="139" t="s">
        <v>239</v>
      </c>
      <c r="C47" s="140" t="s">
        <v>8</v>
      </c>
      <c r="D47" s="140" t="s">
        <v>279</v>
      </c>
      <c r="E47" s="5" t="str">
        <f t="shared" si="0"/>
        <v>GG07</v>
      </c>
      <c r="F47" s="140" t="s">
        <v>280</v>
      </c>
      <c r="G47" s="140" t="s">
        <v>880</v>
      </c>
      <c r="H47" s="140">
        <v>10</v>
      </c>
      <c r="I47" s="140"/>
      <c r="J47" s="141">
        <v>16</v>
      </c>
    </row>
    <row r="48" spans="1:10" x14ac:dyDescent="0.3">
      <c r="A48" s="153" t="s">
        <v>865</v>
      </c>
      <c r="B48" s="139" t="s">
        <v>239</v>
      </c>
      <c r="C48" s="140" t="s">
        <v>8</v>
      </c>
      <c r="D48" s="140" t="s">
        <v>285</v>
      </c>
      <c r="E48" s="5" t="str">
        <f t="shared" si="0"/>
        <v>GG08</v>
      </c>
      <c r="F48" s="140" t="s">
        <v>286</v>
      </c>
      <c r="G48" s="140" t="s">
        <v>879</v>
      </c>
      <c r="H48" s="140">
        <v>10</v>
      </c>
      <c r="I48" s="140"/>
      <c r="J48" s="141">
        <v>16</v>
      </c>
    </row>
    <row r="49" spans="1:10" x14ac:dyDescent="0.3">
      <c r="A49" s="153" t="s">
        <v>865</v>
      </c>
      <c r="B49" s="139" t="s">
        <v>239</v>
      </c>
      <c r="C49" s="140" t="s">
        <v>292</v>
      </c>
      <c r="D49" s="140" t="s">
        <v>293</v>
      </c>
      <c r="E49" s="5" t="str">
        <f t="shared" si="0"/>
        <v>GG09</v>
      </c>
      <c r="F49" s="140" t="s">
        <v>294</v>
      </c>
      <c r="G49" s="140" t="s">
        <v>880</v>
      </c>
      <c r="H49" s="140">
        <v>10</v>
      </c>
      <c r="I49" s="140"/>
      <c r="J49" s="141">
        <v>17</v>
      </c>
    </row>
    <row r="50" spans="1:10" x14ac:dyDescent="0.3">
      <c r="A50" s="153" t="s">
        <v>865</v>
      </c>
      <c r="B50" s="139" t="s">
        <v>239</v>
      </c>
      <c r="C50" s="140" t="s">
        <v>292</v>
      </c>
      <c r="D50" s="140" t="s">
        <v>298</v>
      </c>
      <c r="E50" s="5" t="str">
        <f t="shared" si="0"/>
        <v>GG10</v>
      </c>
      <c r="F50" s="140" t="s">
        <v>299</v>
      </c>
      <c r="G50" s="140" t="s">
        <v>880</v>
      </c>
      <c r="H50" s="140">
        <v>10</v>
      </c>
      <c r="I50" s="140"/>
      <c r="J50" s="141">
        <v>17</v>
      </c>
    </row>
    <row r="51" spans="1:10" x14ac:dyDescent="0.3">
      <c r="A51" s="153" t="s">
        <v>865</v>
      </c>
      <c r="B51" s="139" t="s">
        <v>239</v>
      </c>
      <c r="C51" s="140" t="s">
        <v>292</v>
      </c>
      <c r="D51" s="140" t="s">
        <v>303</v>
      </c>
      <c r="E51" s="5" t="str">
        <f t="shared" si="0"/>
        <v>GG11</v>
      </c>
      <c r="F51" s="140" t="s">
        <v>304</v>
      </c>
      <c r="G51" s="140" t="s">
        <v>880</v>
      </c>
      <c r="H51" s="140">
        <v>10</v>
      </c>
      <c r="I51" s="140"/>
      <c r="J51" s="141" t="s">
        <v>608</v>
      </c>
    </row>
    <row r="52" spans="1:10" x14ac:dyDescent="0.3">
      <c r="A52" s="153" t="s">
        <v>865</v>
      </c>
      <c r="B52" s="139" t="s">
        <v>239</v>
      </c>
      <c r="C52" s="140" t="s">
        <v>309</v>
      </c>
      <c r="D52" s="140" t="s">
        <v>310</v>
      </c>
      <c r="E52" s="5" t="str">
        <f t="shared" si="0"/>
        <v>GG12</v>
      </c>
      <c r="F52" s="140" t="s">
        <v>311</v>
      </c>
      <c r="G52" s="140" t="s">
        <v>880</v>
      </c>
      <c r="H52" s="140">
        <v>10</v>
      </c>
      <c r="I52" s="140"/>
      <c r="J52" s="141" t="s">
        <v>607</v>
      </c>
    </row>
    <row r="53" spans="1:10" x14ac:dyDescent="0.3">
      <c r="A53" s="153" t="s">
        <v>865</v>
      </c>
      <c r="B53" s="139" t="s">
        <v>239</v>
      </c>
      <c r="C53" s="140" t="s">
        <v>309</v>
      </c>
      <c r="D53" s="140" t="s">
        <v>317</v>
      </c>
      <c r="E53" s="5" t="str">
        <f t="shared" si="0"/>
        <v>GG13</v>
      </c>
      <c r="F53" s="140" t="s">
        <v>318</v>
      </c>
      <c r="G53" s="140" t="s">
        <v>880</v>
      </c>
      <c r="H53" s="140">
        <v>10</v>
      </c>
      <c r="I53" s="140"/>
      <c r="J53" s="141">
        <v>16</v>
      </c>
    </row>
    <row r="54" spans="1:10" x14ac:dyDescent="0.3">
      <c r="A54" s="153" t="s">
        <v>865</v>
      </c>
      <c r="B54" s="139" t="s">
        <v>239</v>
      </c>
      <c r="C54" s="140" t="s">
        <v>324</v>
      </c>
      <c r="D54" s="140" t="s">
        <v>325</v>
      </c>
      <c r="E54" s="5" t="str">
        <f t="shared" si="0"/>
        <v>GG14</v>
      </c>
      <c r="F54" s="140" t="s">
        <v>326</v>
      </c>
      <c r="G54" s="140" t="s">
        <v>880</v>
      </c>
      <c r="H54" s="140">
        <v>10</v>
      </c>
      <c r="I54" s="140"/>
      <c r="J54" s="141" t="s">
        <v>607</v>
      </c>
    </row>
    <row r="55" spans="1:10" x14ac:dyDescent="0.3">
      <c r="A55" s="153" t="s">
        <v>865</v>
      </c>
      <c r="B55" s="139" t="s">
        <v>239</v>
      </c>
      <c r="C55" s="140" t="s">
        <v>324</v>
      </c>
      <c r="D55" s="140" t="s">
        <v>332</v>
      </c>
      <c r="E55" s="5" t="str">
        <f t="shared" si="0"/>
        <v>GG15</v>
      </c>
      <c r="F55" s="140" t="s">
        <v>333</v>
      </c>
      <c r="G55" s="140" t="s">
        <v>880</v>
      </c>
      <c r="H55" s="140">
        <v>10</v>
      </c>
      <c r="I55" s="140"/>
      <c r="J55" s="141" t="s">
        <v>607</v>
      </c>
    </row>
    <row r="56" spans="1:10" x14ac:dyDescent="0.3">
      <c r="A56" s="153" t="s">
        <v>865</v>
      </c>
      <c r="B56" s="139" t="s">
        <v>239</v>
      </c>
      <c r="C56" s="140" t="s">
        <v>338</v>
      </c>
      <c r="D56" s="140" t="s">
        <v>339</v>
      </c>
      <c r="E56" s="5" t="str">
        <f t="shared" si="0"/>
        <v>GG16</v>
      </c>
      <c r="F56" s="140" t="s">
        <v>340</v>
      </c>
      <c r="G56" s="140" t="s">
        <v>880</v>
      </c>
      <c r="H56" s="140">
        <v>10</v>
      </c>
      <c r="I56" s="140"/>
      <c r="J56" s="141" t="s">
        <v>609</v>
      </c>
    </row>
    <row r="57" spans="1:10" x14ac:dyDescent="0.3">
      <c r="A57" s="153" t="s">
        <v>865</v>
      </c>
      <c r="B57" s="139" t="s">
        <v>239</v>
      </c>
      <c r="C57" s="140" t="s">
        <v>344</v>
      </c>
      <c r="D57" s="140" t="s">
        <v>345</v>
      </c>
      <c r="E57" s="5" t="str">
        <f t="shared" si="0"/>
        <v>GG17</v>
      </c>
      <c r="F57" s="140" t="s">
        <v>346</v>
      </c>
      <c r="G57" s="140" t="s">
        <v>880</v>
      </c>
      <c r="H57" s="140">
        <v>10</v>
      </c>
      <c r="I57" s="140"/>
      <c r="J57" s="141">
        <v>16</v>
      </c>
    </row>
    <row r="58" spans="1:10" x14ac:dyDescent="0.3">
      <c r="A58" s="153" t="s">
        <v>865</v>
      </c>
      <c r="B58" s="139" t="s">
        <v>239</v>
      </c>
      <c r="C58" s="140" t="s">
        <v>344</v>
      </c>
      <c r="D58" s="140" t="s">
        <v>351</v>
      </c>
      <c r="E58" s="5" t="str">
        <f t="shared" si="0"/>
        <v>GG18</v>
      </c>
      <c r="F58" s="140" t="s">
        <v>352</v>
      </c>
      <c r="G58" s="140" t="s">
        <v>880</v>
      </c>
      <c r="H58" s="140">
        <v>10</v>
      </c>
      <c r="I58" s="140"/>
      <c r="J58" s="141">
        <v>16</v>
      </c>
    </row>
    <row r="59" spans="1:10" x14ac:dyDescent="0.3">
      <c r="A59" s="153" t="s">
        <v>865</v>
      </c>
      <c r="B59" s="139" t="s">
        <v>239</v>
      </c>
      <c r="C59" s="140" t="s">
        <v>357</v>
      </c>
      <c r="D59" s="140" t="s">
        <v>358</v>
      </c>
      <c r="E59" s="5" t="str">
        <f t="shared" si="0"/>
        <v>GG19</v>
      </c>
      <c r="F59" s="140" t="s">
        <v>359</v>
      </c>
      <c r="G59" s="140" t="s">
        <v>880</v>
      </c>
      <c r="H59" s="140">
        <v>10</v>
      </c>
      <c r="I59" s="140"/>
      <c r="J59" s="141">
        <v>9</v>
      </c>
    </row>
    <row r="60" spans="1:10" x14ac:dyDescent="0.3">
      <c r="A60" s="153" t="s">
        <v>865</v>
      </c>
      <c r="B60" s="139" t="s">
        <v>239</v>
      </c>
      <c r="C60" s="140" t="s">
        <v>357</v>
      </c>
      <c r="D60" s="140" t="s">
        <v>365</v>
      </c>
      <c r="E60" s="5" t="str">
        <f t="shared" si="0"/>
        <v>GG20</v>
      </c>
      <c r="F60" s="140" t="s">
        <v>366</v>
      </c>
      <c r="G60" s="140" t="s">
        <v>880</v>
      </c>
      <c r="H60" s="140">
        <v>10</v>
      </c>
      <c r="I60" s="143">
        <f>SUM(H41:H60)</f>
        <v>200</v>
      </c>
      <c r="J60" s="141">
        <v>9</v>
      </c>
    </row>
    <row r="61" spans="1:10" x14ac:dyDescent="0.3">
      <c r="A61" s="153" t="s">
        <v>577</v>
      </c>
      <c r="B61" s="145" t="s">
        <v>7</v>
      </c>
      <c r="C61" s="147" t="s">
        <v>393</v>
      </c>
      <c r="D61" s="147" t="s">
        <v>373</v>
      </c>
      <c r="E61" s="5" t="str">
        <f t="shared" si="0"/>
        <v>AE01</v>
      </c>
      <c r="F61" s="147" t="s">
        <v>395</v>
      </c>
      <c r="G61" s="149" t="s">
        <v>880</v>
      </c>
      <c r="H61" s="149">
        <v>10</v>
      </c>
      <c r="I61" s="149"/>
      <c r="J61" s="150">
        <v>6</v>
      </c>
    </row>
    <row r="62" spans="1:10" x14ac:dyDescent="0.3">
      <c r="A62" s="153" t="s">
        <v>577</v>
      </c>
      <c r="B62" s="145" t="s">
        <v>7</v>
      </c>
      <c r="C62" s="147" t="s">
        <v>377</v>
      </c>
      <c r="D62" s="147" t="s">
        <v>375</v>
      </c>
      <c r="E62" s="5" t="str">
        <f t="shared" si="0"/>
        <v>AE02</v>
      </c>
      <c r="F62" s="147" t="s">
        <v>381</v>
      </c>
      <c r="G62" s="147" t="s">
        <v>880</v>
      </c>
      <c r="H62" s="147">
        <v>10</v>
      </c>
      <c r="I62" s="147"/>
      <c r="J62" s="151">
        <v>15</v>
      </c>
    </row>
    <row r="63" spans="1:10" x14ac:dyDescent="0.3">
      <c r="A63" s="153" t="s">
        <v>577</v>
      </c>
      <c r="B63" s="145" t="s">
        <v>7</v>
      </c>
      <c r="C63" s="147" t="s">
        <v>377</v>
      </c>
      <c r="D63" s="147" t="s">
        <v>378</v>
      </c>
      <c r="E63" s="5" t="str">
        <f t="shared" si="0"/>
        <v>AE03</v>
      </c>
      <c r="F63" s="147" t="s">
        <v>383</v>
      </c>
      <c r="G63" s="147" t="s">
        <v>879</v>
      </c>
      <c r="H63" s="147">
        <v>10</v>
      </c>
      <c r="I63" s="147"/>
      <c r="J63" s="151">
        <v>12</v>
      </c>
    </row>
    <row r="64" spans="1:10" x14ac:dyDescent="0.3">
      <c r="A64" s="153" t="s">
        <v>577</v>
      </c>
      <c r="B64" s="145" t="s">
        <v>7</v>
      </c>
      <c r="C64" s="147" t="s">
        <v>384</v>
      </c>
      <c r="D64" s="147" t="s">
        <v>380</v>
      </c>
      <c r="E64" s="5" t="str">
        <f t="shared" si="0"/>
        <v>AE04</v>
      </c>
      <c r="F64" s="147" t="s">
        <v>385</v>
      </c>
      <c r="G64" s="147" t="s">
        <v>880</v>
      </c>
      <c r="H64" s="147">
        <v>10</v>
      </c>
      <c r="I64" s="147"/>
      <c r="J64" s="151" t="s">
        <v>607</v>
      </c>
    </row>
    <row r="65" spans="1:10" x14ac:dyDescent="0.3">
      <c r="A65" s="153" t="s">
        <v>577</v>
      </c>
      <c r="B65" s="145" t="s">
        <v>7</v>
      </c>
      <c r="C65" s="147" t="s">
        <v>387</v>
      </c>
      <c r="D65" s="147" t="s">
        <v>382</v>
      </c>
      <c r="E65" s="5" t="str">
        <f t="shared" si="0"/>
        <v>AE05</v>
      </c>
      <c r="F65" s="147" t="s">
        <v>388</v>
      </c>
      <c r="G65" s="147" t="s">
        <v>880</v>
      </c>
      <c r="H65" s="147">
        <v>10</v>
      </c>
      <c r="I65" s="147">
        <f>SUM(H61:H65)</f>
        <v>50</v>
      </c>
      <c r="J65" s="151">
        <v>9</v>
      </c>
    </row>
    <row r="66" spans="1:10" x14ac:dyDescent="0.3">
      <c r="A66" s="153" t="s">
        <v>577</v>
      </c>
      <c r="B66" s="145" t="s">
        <v>100</v>
      </c>
      <c r="C66" s="147" t="s">
        <v>399</v>
      </c>
      <c r="D66" s="147" t="s">
        <v>391</v>
      </c>
      <c r="E66" s="5" t="str">
        <f t="shared" si="0"/>
        <v>AS01</v>
      </c>
      <c r="F66" s="147" t="s">
        <v>401</v>
      </c>
      <c r="G66" s="147" t="s">
        <v>879</v>
      </c>
      <c r="H66" s="147">
        <v>10</v>
      </c>
      <c r="I66" s="147"/>
      <c r="J66" s="151" t="s">
        <v>607</v>
      </c>
    </row>
    <row r="67" spans="1:10" x14ac:dyDescent="0.3">
      <c r="A67" s="153" t="s">
        <v>577</v>
      </c>
      <c r="B67" s="145" t="s">
        <v>100</v>
      </c>
      <c r="C67" s="147" t="s">
        <v>399</v>
      </c>
      <c r="D67" s="147" t="s">
        <v>620</v>
      </c>
      <c r="E67" s="5" t="str">
        <f t="shared" ref="E67:E130" si="1">SUBSTITUTE(D67," ","")</f>
        <v>AS02</v>
      </c>
      <c r="F67" s="147" t="s">
        <v>403</v>
      </c>
      <c r="G67" s="147" t="s">
        <v>879</v>
      </c>
      <c r="H67" s="147">
        <v>0</v>
      </c>
      <c r="I67" s="147"/>
      <c r="J67" s="151" t="s">
        <v>607</v>
      </c>
    </row>
    <row r="68" spans="1:10" x14ac:dyDescent="0.3">
      <c r="A68" s="153" t="s">
        <v>577</v>
      </c>
      <c r="B68" s="145" t="s">
        <v>100</v>
      </c>
      <c r="C68" s="147" t="s">
        <v>404</v>
      </c>
      <c r="D68" s="147" t="s">
        <v>621</v>
      </c>
      <c r="E68" s="5" t="str">
        <f t="shared" si="1"/>
        <v>AS03</v>
      </c>
      <c r="F68" s="147" t="s">
        <v>406</v>
      </c>
      <c r="G68" s="147" t="s">
        <v>879</v>
      </c>
      <c r="H68" s="147">
        <v>0</v>
      </c>
      <c r="I68" s="147"/>
      <c r="J68" s="151" t="s">
        <v>607</v>
      </c>
    </row>
    <row r="69" spans="1:10" x14ac:dyDescent="0.3">
      <c r="A69" s="153" t="s">
        <v>577</v>
      </c>
      <c r="B69" s="145" t="s">
        <v>100</v>
      </c>
      <c r="C69" s="147" t="s">
        <v>404</v>
      </c>
      <c r="D69" s="147" t="s">
        <v>622</v>
      </c>
      <c r="E69" s="5" t="str">
        <f t="shared" si="1"/>
        <v>AS04</v>
      </c>
      <c r="F69" s="147" t="s">
        <v>408</v>
      </c>
      <c r="G69" s="147" t="s">
        <v>879</v>
      </c>
      <c r="H69" s="147">
        <v>10</v>
      </c>
      <c r="I69" s="147"/>
      <c r="J69" s="151" t="s">
        <v>870</v>
      </c>
    </row>
    <row r="70" spans="1:10" x14ac:dyDescent="0.3">
      <c r="A70" s="153" t="s">
        <v>577</v>
      </c>
      <c r="B70" s="146" t="s">
        <v>100</v>
      </c>
      <c r="C70" s="148" t="s">
        <v>404</v>
      </c>
      <c r="D70" s="148" t="s">
        <v>623</v>
      </c>
      <c r="E70" s="5" t="str">
        <f t="shared" si="1"/>
        <v>AS05</v>
      </c>
      <c r="F70" s="148" t="s">
        <v>409</v>
      </c>
      <c r="G70" s="148" t="s">
        <v>880</v>
      </c>
      <c r="H70" s="148">
        <v>10</v>
      </c>
      <c r="I70" s="148">
        <f>SUM(H66:H70)</f>
        <v>30</v>
      </c>
      <c r="J70" s="152" t="s">
        <v>607</v>
      </c>
    </row>
    <row r="71" spans="1:10" x14ac:dyDescent="0.3">
      <c r="A71" s="153" t="s">
        <v>578</v>
      </c>
      <c r="B71" s="145" t="s">
        <v>7</v>
      </c>
      <c r="C71" s="147" t="s">
        <v>564</v>
      </c>
      <c r="D71" s="147" t="s">
        <v>394</v>
      </c>
      <c r="E71" s="5" t="str">
        <f t="shared" si="1"/>
        <v>BE01</v>
      </c>
      <c r="F71" s="147" t="s">
        <v>547</v>
      </c>
      <c r="G71" s="153" t="s">
        <v>880</v>
      </c>
      <c r="H71" s="153">
        <v>10</v>
      </c>
      <c r="I71" s="153"/>
      <c r="J71" s="155">
        <v>15</v>
      </c>
    </row>
    <row r="72" spans="1:10" x14ac:dyDescent="0.3">
      <c r="A72" s="153" t="s">
        <v>578</v>
      </c>
      <c r="B72" s="145" t="s">
        <v>7</v>
      </c>
      <c r="C72" s="147" t="s">
        <v>563</v>
      </c>
      <c r="D72" s="147" t="s">
        <v>396</v>
      </c>
      <c r="E72" s="5" t="str">
        <f t="shared" si="1"/>
        <v>BE02</v>
      </c>
      <c r="F72" s="147" t="s">
        <v>563</v>
      </c>
      <c r="G72" s="153" t="s">
        <v>880</v>
      </c>
      <c r="H72" s="153">
        <v>10</v>
      </c>
      <c r="I72" s="153"/>
      <c r="J72" s="155" t="s">
        <v>870</v>
      </c>
    </row>
    <row r="73" spans="1:10" x14ac:dyDescent="0.3">
      <c r="A73" s="153" t="s">
        <v>578</v>
      </c>
      <c r="B73" s="145" t="s">
        <v>7</v>
      </c>
      <c r="C73" s="147" t="s">
        <v>460</v>
      </c>
      <c r="D73" s="147" t="s">
        <v>397</v>
      </c>
      <c r="E73" s="5" t="str">
        <f t="shared" si="1"/>
        <v>BE03</v>
      </c>
      <c r="F73" s="147" t="s">
        <v>494</v>
      </c>
      <c r="G73" s="153" t="s">
        <v>880</v>
      </c>
      <c r="H73" s="153">
        <v>10</v>
      </c>
      <c r="I73" s="153"/>
      <c r="J73" s="155" t="s">
        <v>871</v>
      </c>
    </row>
    <row r="74" spans="1:10" x14ac:dyDescent="0.3">
      <c r="A74" s="153" t="s">
        <v>578</v>
      </c>
      <c r="B74" s="145" t="s">
        <v>7</v>
      </c>
      <c r="C74" s="147" t="s">
        <v>565</v>
      </c>
      <c r="D74" s="147" t="s">
        <v>398</v>
      </c>
      <c r="E74" s="5" t="str">
        <f t="shared" si="1"/>
        <v>BE04</v>
      </c>
      <c r="F74" s="147" t="s">
        <v>566</v>
      </c>
      <c r="G74" s="153" t="s">
        <v>879</v>
      </c>
      <c r="H74" s="153">
        <v>10</v>
      </c>
      <c r="I74" s="153">
        <f>SUM(H71:H74)</f>
        <v>40</v>
      </c>
      <c r="J74" s="155">
        <v>12</v>
      </c>
    </row>
    <row r="75" spans="1:10" x14ac:dyDescent="0.3">
      <c r="A75" s="153" t="s">
        <v>578</v>
      </c>
      <c r="B75" s="145" t="s">
        <v>100</v>
      </c>
      <c r="C75" s="153" t="s">
        <v>472</v>
      </c>
      <c r="D75" s="147" t="s">
        <v>400</v>
      </c>
      <c r="E75" s="5" t="str">
        <f t="shared" si="1"/>
        <v>BS01</v>
      </c>
      <c r="F75" s="147" t="s">
        <v>552</v>
      </c>
      <c r="G75" s="153" t="s">
        <v>879</v>
      </c>
      <c r="H75" s="153">
        <v>10</v>
      </c>
      <c r="I75" s="153"/>
      <c r="J75" s="155" t="s">
        <v>602</v>
      </c>
    </row>
    <row r="76" spans="1:10" x14ac:dyDescent="0.3">
      <c r="A76" s="153" t="s">
        <v>578</v>
      </c>
      <c r="B76" s="145" t="s">
        <v>100</v>
      </c>
      <c r="C76" s="153" t="s">
        <v>472</v>
      </c>
      <c r="D76" s="147" t="s">
        <v>402</v>
      </c>
      <c r="E76" s="5" t="str">
        <f t="shared" si="1"/>
        <v>BS02</v>
      </c>
      <c r="F76" s="147" t="s">
        <v>553</v>
      </c>
      <c r="G76" s="153" t="s">
        <v>879</v>
      </c>
      <c r="H76" s="153">
        <v>10</v>
      </c>
      <c r="I76" s="153"/>
      <c r="J76" s="155">
        <v>8</v>
      </c>
    </row>
    <row r="77" spans="1:10" x14ac:dyDescent="0.3">
      <c r="A77" s="153" t="s">
        <v>578</v>
      </c>
      <c r="B77" s="145" t="s">
        <v>100</v>
      </c>
      <c r="C77" s="153" t="s">
        <v>472</v>
      </c>
      <c r="D77" s="147" t="s">
        <v>405</v>
      </c>
      <c r="E77" s="5" t="str">
        <f t="shared" si="1"/>
        <v>BS03</v>
      </c>
      <c r="F77" s="147" t="s">
        <v>554</v>
      </c>
      <c r="G77" s="153" t="s">
        <v>880</v>
      </c>
      <c r="H77" s="153">
        <v>10</v>
      </c>
      <c r="I77" s="153"/>
      <c r="J77" s="155">
        <v>8</v>
      </c>
    </row>
    <row r="78" spans="1:10" x14ac:dyDescent="0.3">
      <c r="A78" s="153" t="s">
        <v>578</v>
      </c>
      <c r="B78" s="145" t="s">
        <v>100</v>
      </c>
      <c r="C78" s="153" t="s">
        <v>472</v>
      </c>
      <c r="D78" s="147" t="s">
        <v>407</v>
      </c>
      <c r="E78" s="5" t="str">
        <f t="shared" si="1"/>
        <v>BS04</v>
      </c>
      <c r="F78" s="147" t="s">
        <v>555</v>
      </c>
      <c r="G78" s="153" t="s">
        <v>880</v>
      </c>
      <c r="H78" s="153">
        <v>10</v>
      </c>
      <c r="I78" s="153">
        <f>SUM(H75:H78)</f>
        <v>40</v>
      </c>
      <c r="J78" s="155">
        <v>8</v>
      </c>
    </row>
    <row r="79" spans="1:10" x14ac:dyDescent="0.3">
      <c r="A79" s="153" t="s">
        <v>578</v>
      </c>
      <c r="B79" s="145" t="s">
        <v>239</v>
      </c>
      <c r="C79" s="153" t="s">
        <v>504</v>
      </c>
      <c r="D79" s="147" t="s">
        <v>673</v>
      </c>
      <c r="E79" s="5" t="str">
        <f t="shared" si="1"/>
        <v>BG01</v>
      </c>
      <c r="F79" s="147" t="s">
        <v>556</v>
      </c>
      <c r="G79" s="153" t="s">
        <v>879</v>
      </c>
      <c r="H79" s="153">
        <v>10</v>
      </c>
      <c r="I79" s="153"/>
      <c r="J79" s="155">
        <v>12</v>
      </c>
    </row>
    <row r="80" spans="1:10" x14ac:dyDescent="0.3">
      <c r="A80" s="153" t="s">
        <v>578</v>
      </c>
      <c r="B80" s="146" t="s">
        <v>239</v>
      </c>
      <c r="C80" s="153" t="s">
        <v>504</v>
      </c>
      <c r="D80" s="154" t="s">
        <v>674</v>
      </c>
      <c r="E80" s="5" t="str">
        <f t="shared" si="1"/>
        <v>BG02</v>
      </c>
      <c r="F80" s="148" t="s">
        <v>557</v>
      </c>
      <c r="G80" s="153" t="s">
        <v>879</v>
      </c>
      <c r="H80" s="153">
        <v>10</v>
      </c>
      <c r="I80" s="153">
        <f>SUM(H79:H80)</f>
        <v>20</v>
      </c>
      <c r="J80" s="155">
        <v>16</v>
      </c>
    </row>
    <row r="81" spans="1:10" x14ac:dyDescent="0.3">
      <c r="A81" s="153" t="s">
        <v>579</v>
      </c>
      <c r="B81" s="145" t="s">
        <v>7</v>
      </c>
      <c r="C81" s="156" t="s">
        <v>410</v>
      </c>
      <c r="D81" s="156" t="s">
        <v>411</v>
      </c>
      <c r="E81" s="5" t="str">
        <f t="shared" si="1"/>
        <v>CE01</v>
      </c>
      <c r="F81" s="147" t="s">
        <v>412</v>
      </c>
      <c r="G81" s="149" t="s">
        <v>879</v>
      </c>
      <c r="H81" s="149">
        <v>10</v>
      </c>
      <c r="I81" s="149"/>
      <c r="J81" s="157">
        <v>12</v>
      </c>
    </row>
    <row r="82" spans="1:10" x14ac:dyDescent="0.3">
      <c r="A82" s="153" t="s">
        <v>579</v>
      </c>
      <c r="B82" s="145" t="s">
        <v>7</v>
      </c>
      <c r="C82" s="147" t="s">
        <v>410</v>
      </c>
      <c r="D82" s="147" t="s">
        <v>413</v>
      </c>
      <c r="E82" s="5" t="str">
        <f t="shared" si="1"/>
        <v>CE02</v>
      </c>
      <c r="F82" s="147" t="s">
        <v>414</v>
      </c>
      <c r="G82" s="147" t="s">
        <v>880</v>
      </c>
      <c r="H82" s="147">
        <v>10</v>
      </c>
      <c r="I82" s="147"/>
      <c r="J82" s="158">
        <v>12</v>
      </c>
    </row>
    <row r="83" spans="1:10" x14ac:dyDescent="0.3">
      <c r="A83" s="153" t="s">
        <v>579</v>
      </c>
      <c r="B83" s="145" t="s">
        <v>7</v>
      </c>
      <c r="C83" s="147" t="s">
        <v>415</v>
      </c>
      <c r="D83" s="147" t="s">
        <v>416</v>
      </c>
      <c r="E83" s="5" t="str">
        <f t="shared" si="1"/>
        <v>CE03</v>
      </c>
      <c r="F83" s="147" t="s">
        <v>417</v>
      </c>
      <c r="G83" s="147" t="s">
        <v>879</v>
      </c>
      <c r="H83" s="147">
        <v>10</v>
      </c>
      <c r="I83" s="147"/>
      <c r="J83" s="158">
        <v>15</v>
      </c>
    </row>
    <row r="84" spans="1:10" x14ac:dyDescent="0.3">
      <c r="A84" s="153" t="s">
        <v>579</v>
      </c>
      <c r="B84" s="145" t="s">
        <v>7</v>
      </c>
      <c r="C84" s="147" t="s">
        <v>418</v>
      </c>
      <c r="D84" s="147" t="s">
        <v>419</v>
      </c>
      <c r="E84" s="5" t="str">
        <f t="shared" si="1"/>
        <v>CE04</v>
      </c>
      <c r="F84" s="147" t="s">
        <v>420</v>
      </c>
      <c r="G84" s="147" t="s">
        <v>880</v>
      </c>
      <c r="H84" s="147">
        <v>10</v>
      </c>
      <c r="I84" s="147"/>
      <c r="J84" s="158">
        <v>11</v>
      </c>
    </row>
    <row r="85" spans="1:10" x14ac:dyDescent="0.3">
      <c r="A85" s="153" t="s">
        <v>579</v>
      </c>
      <c r="B85" s="145" t="s">
        <v>7</v>
      </c>
      <c r="C85" s="147" t="s">
        <v>421</v>
      </c>
      <c r="D85" s="147" t="s">
        <v>422</v>
      </c>
      <c r="E85" s="5" t="str">
        <f t="shared" si="1"/>
        <v>CE05</v>
      </c>
      <c r="F85" s="147" t="s">
        <v>569</v>
      </c>
      <c r="G85" s="147" t="s">
        <v>880</v>
      </c>
      <c r="H85" s="147">
        <v>10</v>
      </c>
      <c r="I85" s="147">
        <f>SUM(H81:H85)</f>
        <v>50</v>
      </c>
      <c r="J85" s="158">
        <v>11</v>
      </c>
    </row>
    <row r="86" spans="1:10" x14ac:dyDescent="0.3">
      <c r="A86" s="153" t="s">
        <v>579</v>
      </c>
      <c r="B86" s="145" t="s">
        <v>100</v>
      </c>
      <c r="C86" s="147" t="s">
        <v>423</v>
      </c>
      <c r="D86" s="147" t="s">
        <v>424</v>
      </c>
      <c r="E86" s="5" t="str">
        <f t="shared" si="1"/>
        <v>CS01</v>
      </c>
      <c r="F86" s="147" t="s">
        <v>425</v>
      </c>
      <c r="G86" s="147" t="s">
        <v>880</v>
      </c>
      <c r="H86" s="147">
        <v>10</v>
      </c>
      <c r="I86" s="147"/>
      <c r="J86" s="158">
        <v>11</v>
      </c>
    </row>
    <row r="87" spans="1:10" x14ac:dyDescent="0.3">
      <c r="A87" s="153" t="s">
        <v>579</v>
      </c>
      <c r="B87" s="145" t="s">
        <v>100</v>
      </c>
      <c r="C87" s="147" t="s">
        <v>426</v>
      </c>
      <c r="D87" s="147" t="s">
        <v>427</v>
      </c>
      <c r="E87" s="5" t="str">
        <f t="shared" si="1"/>
        <v>CS02</v>
      </c>
      <c r="F87" s="147" t="s">
        <v>428</v>
      </c>
      <c r="G87" s="147" t="s">
        <v>880</v>
      </c>
      <c r="H87" s="147">
        <v>10</v>
      </c>
      <c r="I87" s="147"/>
      <c r="J87" s="158">
        <v>11</v>
      </c>
    </row>
    <row r="88" spans="1:10" x14ac:dyDescent="0.3">
      <c r="A88" s="153" t="s">
        <v>579</v>
      </c>
      <c r="B88" s="145" t="s">
        <v>100</v>
      </c>
      <c r="C88" s="147" t="s">
        <v>429</v>
      </c>
      <c r="D88" s="147" t="s">
        <v>430</v>
      </c>
      <c r="E88" s="5" t="str">
        <f t="shared" si="1"/>
        <v>CS03</v>
      </c>
      <c r="F88" s="147" t="s">
        <v>431</v>
      </c>
      <c r="G88" s="147" t="s">
        <v>879</v>
      </c>
      <c r="H88" s="147">
        <v>10</v>
      </c>
      <c r="I88" s="147">
        <f>SUM(H86:H88)</f>
        <v>30</v>
      </c>
      <c r="J88" s="158">
        <v>8</v>
      </c>
    </row>
    <row r="89" spans="1:10" x14ac:dyDescent="0.3">
      <c r="A89" s="153" t="s">
        <v>579</v>
      </c>
      <c r="B89" s="145" t="s">
        <v>239</v>
      </c>
      <c r="C89" s="147" t="s">
        <v>432</v>
      </c>
      <c r="D89" s="147" t="s">
        <v>433</v>
      </c>
      <c r="E89" s="5" t="str">
        <f t="shared" si="1"/>
        <v>CG01</v>
      </c>
      <c r="F89" s="147" t="s">
        <v>434</v>
      </c>
      <c r="G89" s="147" t="s">
        <v>880</v>
      </c>
      <c r="H89" s="147">
        <v>10</v>
      </c>
      <c r="I89" s="147"/>
      <c r="J89" s="158">
        <v>11</v>
      </c>
    </row>
    <row r="90" spans="1:10" x14ac:dyDescent="0.3">
      <c r="A90" s="153" t="s">
        <v>579</v>
      </c>
      <c r="B90" s="146" t="s">
        <v>239</v>
      </c>
      <c r="C90" s="148" t="s">
        <v>435</v>
      </c>
      <c r="D90" s="148" t="s">
        <v>436</v>
      </c>
      <c r="E90" s="5" t="str">
        <f t="shared" si="1"/>
        <v>CG02</v>
      </c>
      <c r="F90" s="148" t="s">
        <v>437</v>
      </c>
      <c r="G90" s="148" t="s">
        <v>880</v>
      </c>
      <c r="H90" s="148">
        <v>10</v>
      </c>
      <c r="I90" s="148">
        <f>SUM(H89:H90)</f>
        <v>20</v>
      </c>
      <c r="J90" s="159">
        <v>11</v>
      </c>
    </row>
    <row r="91" spans="1:10" x14ac:dyDescent="0.3">
      <c r="A91" s="153" t="s">
        <v>580</v>
      </c>
      <c r="B91" s="145" t="s">
        <v>7</v>
      </c>
      <c r="C91" s="147" t="s">
        <v>438</v>
      </c>
      <c r="D91" s="147" t="s">
        <v>439</v>
      </c>
      <c r="E91" s="5" t="str">
        <f t="shared" si="1"/>
        <v>DE01</v>
      </c>
      <c r="F91" s="147" t="s">
        <v>440</v>
      </c>
      <c r="G91" s="149" t="s">
        <v>880</v>
      </c>
      <c r="H91" s="149">
        <v>10</v>
      </c>
      <c r="I91" s="149"/>
      <c r="J91" s="157">
        <v>7</v>
      </c>
    </row>
    <row r="92" spans="1:10" x14ac:dyDescent="0.3">
      <c r="A92" s="153" t="s">
        <v>580</v>
      </c>
      <c r="B92" s="145" t="s">
        <v>7</v>
      </c>
      <c r="C92" s="147" t="s">
        <v>438</v>
      </c>
      <c r="D92" s="147" t="s">
        <v>441</v>
      </c>
      <c r="E92" s="5" t="str">
        <f t="shared" si="1"/>
        <v>DE02</v>
      </c>
      <c r="F92" s="147" t="s">
        <v>442</v>
      </c>
      <c r="G92" s="147" t="s">
        <v>880</v>
      </c>
      <c r="H92" s="147">
        <v>10</v>
      </c>
      <c r="I92" s="147"/>
      <c r="J92" s="158">
        <v>13</v>
      </c>
    </row>
    <row r="93" spans="1:10" x14ac:dyDescent="0.3">
      <c r="A93" s="153" t="s">
        <v>580</v>
      </c>
      <c r="B93" s="145" t="s">
        <v>7</v>
      </c>
      <c r="C93" s="147" t="s">
        <v>443</v>
      </c>
      <c r="D93" s="147" t="s">
        <v>444</v>
      </c>
      <c r="E93" s="5" t="str">
        <f t="shared" si="1"/>
        <v>DE03</v>
      </c>
      <c r="F93" s="147" t="s">
        <v>381</v>
      </c>
      <c r="G93" s="147" t="s">
        <v>880</v>
      </c>
      <c r="H93" s="147">
        <v>10</v>
      </c>
      <c r="I93" s="147"/>
      <c r="J93" s="158">
        <v>15</v>
      </c>
    </row>
    <row r="94" spans="1:10" x14ac:dyDescent="0.3">
      <c r="A94" s="153" t="s">
        <v>580</v>
      </c>
      <c r="B94" s="145" t="s">
        <v>7</v>
      </c>
      <c r="C94" s="147" t="s">
        <v>443</v>
      </c>
      <c r="D94" s="147" t="s">
        <v>445</v>
      </c>
      <c r="E94" s="5" t="str">
        <f t="shared" si="1"/>
        <v>DE04</v>
      </c>
      <c r="F94" s="147" t="s">
        <v>446</v>
      </c>
      <c r="G94" s="147" t="s">
        <v>880</v>
      </c>
      <c r="H94" s="147">
        <v>10</v>
      </c>
      <c r="I94" s="147"/>
      <c r="J94" s="158">
        <v>12</v>
      </c>
    </row>
    <row r="95" spans="1:10" x14ac:dyDescent="0.3">
      <c r="A95" s="153" t="s">
        <v>580</v>
      </c>
      <c r="B95" s="145" t="s">
        <v>7</v>
      </c>
      <c r="C95" s="147" t="s">
        <v>443</v>
      </c>
      <c r="D95" s="147" t="s">
        <v>447</v>
      </c>
      <c r="E95" s="5" t="str">
        <f t="shared" si="1"/>
        <v>DE05</v>
      </c>
      <c r="F95" s="147" t="s">
        <v>448</v>
      </c>
      <c r="G95" s="147" t="s">
        <v>880</v>
      </c>
      <c r="H95" s="147">
        <v>10</v>
      </c>
      <c r="I95" s="147"/>
      <c r="J95" s="158">
        <v>12</v>
      </c>
    </row>
    <row r="96" spans="1:10" x14ac:dyDescent="0.3">
      <c r="A96" s="153" t="s">
        <v>580</v>
      </c>
      <c r="B96" s="145" t="s">
        <v>7</v>
      </c>
      <c r="C96" s="147" t="s">
        <v>449</v>
      </c>
      <c r="D96" s="147" t="s">
        <v>450</v>
      </c>
      <c r="E96" s="5" t="str">
        <f t="shared" si="1"/>
        <v>DE06</v>
      </c>
      <c r="F96" s="147" t="s">
        <v>385</v>
      </c>
      <c r="G96" s="147" t="s">
        <v>880</v>
      </c>
      <c r="H96" s="147">
        <v>10</v>
      </c>
      <c r="I96" s="147"/>
      <c r="J96" s="158">
        <v>15</v>
      </c>
    </row>
    <row r="97" spans="1:10" x14ac:dyDescent="0.3">
      <c r="A97" s="153" t="s">
        <v>580</v>
      </c>
      <c r="B97" s="145" t="s">
        <v>7</v>
      </c>
      <c r="C97" s="147" t="s">
        <v>449</v>
      </c>
      <c r="D97" s="147" t="s">
        <v>451</v>
      </c>
      <c r="E97" s="5" t="str">
        <f t="shared" si="1"/>
        <v>DE07</v>
      </c>
      <c r="F97" s="147" t="s">
        <v>452</v>
      </c>
      <c r="G97" s="147" t="s">
        <v>879</v>
      </c>
      <c r="H97" s="147">
        <v>0</v>
      </c>
      <c r="I97" s="147">
        <f>SUM(H91:H97)</f>
        <v>60</v>
      </c>
      <c r="J97" s="158">
        <v>12</v>
      </c>
    </row>
    <row r="98" spans="1:10" x14ac:dyDescent="0.3">
      <c r="A98" s="153" t="s">
        <v>580</v>
      </c>
      <c r="B98" s="145" t="s">
        <v>100</v>
      </c>
      <c r="C98" s="147" t="s">
        <v>453</v>
      </c>
      <c r="D98" s="147" t="s">
        <v>454</v>
      </c>
      <c r="E98" s="5" t="str">
        <f t="shared" si="1"/>
        <v>DS01</v>
      </c>
      <c r="F98" s="147" t="s">
        <v>455</v>
      </c>
      <c r="G98" s="147" t="s">
        <v>880</v>
      </c>
      <c r="H98" s="147">
        <v>10</v>
      </c>
      <c r="I98" s="147"/>
      <c r="J98" s="158">
        <v>12</v>
      </c>
    </row>
    <row r="99" spans="1:10" x14ac:dyDescent="0.3">
      <c r="A99" s="153" t="s">
        <v>580</v>
      </c>
      <c r="B99" s="145" t="s">
        <v>100</v>
      </c>
      <c r="C99" s="147" t="s">
        <v>570</v>
      </c>
      <c r="D99" s="147" t="s">
        <v>456</v>
      </c>
      <c r="E99" s="5" t="str">
        <f t="shared" si="1"/>
        <v>DS02</v>
      </c>
      <c r="F99" s="147" t="s">
        <v>571</v>
      </c>
      <c r="G99" s="147" t="s">
        <v>880</v>
      </c>
      <c r="H99" s="147">
        <v>10</v>
      </c>
      <c r="I99" s="147">
        <f>SUM(H98:H99)</f>
        <v>20</v>
      </c>
      <c r="J99" s="158">
        <v>16</v>
      </c>
    </row>
    <row r="100" spans="1:10" x14ac:dyDescent="0.3">
      <c r="A100" s="153" t="s">
        <v>580</v>
      </c>
      <c r="B100" s="146" t="s">
        <v>239</v>
      </c>
      <c r="C100" s="148" t="s">
        <v>457</v>
      </c>
      <c r="D100" s="148" t="s">
        <v>458</v>
      </c>
      <c r="E100" s="5" t="str">
        <f t="shared" si="1"/>
        <v>DG01</v>
      </c>
      <c r="F100" s="148" t="s">
        <v>459</v>
      </c>
      <c r="G100" s="148" t="s">
        <v>880</v>
      </c>
      <c r="H100" s="148">
        <v>10</v>
      </c>
      <c r="I100" s="148" t="e">
        <f>SUM(Tabela7[[#This Row],[Coluna1]])</f>
        <v>#VALUE!</v>
      </c>
      <c r="J100" s="159">
        <v>9</v>
      </c>
    </row>
    <row r="101" spans="1:10" x14ac:dyDescent="0.3">
      <c r="A101" s="153" t="s">
        <v>581</v>
      </c>
      <c r="B101" s="145" t="s">
        <v>7</v>
      </c>
      <c r="C101" s="147" t="s">
        <v>460</v>
      </c>
      <c r="D101" s="147" t="s">
        <v>461</v>
      </c>
      <c r="E101" s="5" t="str">
        <f t="shared" si="1"/>
        <v>EE01</v>
      </c>
      <c r="F101" s="147" t="s">
        <v>462</v>
      </c>
      <c r="G101" s="149" t="s">
        <v>880</v>
      </c>
      <c r="H101" s="149">
        <v>10</v>
      </c>
      <c r="I101" s="149"/>
      <c r="J101" s="157">
        <v>13</v>
      </c>
    </row>
    <row r="102" spans="1:10" x14ac:dyDescent="0.3">
      <c r="A102" s="153" t="s">
        <v>581</v>
      </c>
      <c r="B102" s="145" t="s">
        <v>7</v>
      </c>
      <c r="C102" s="147" t="s">
        <v>460</v>
      </c>
      <c r="D102" s="147" t="s">
        <v>463</v>
      </c>
      <c r="E102" s="5" t="str">
        <f t="shared" si="1"/>
        <v>EE02</v>
      </c>
      <c r="F102" s="147" t="s">
        <v>464</v>
      </c>
      <c r="G102" s="147" t="s">
        <v>880</v>
      </c>
      <c r="H102" s="147">
        <v>10</v>
      </c>
      <c r="I102" s="147"/>
      <c r="J102" s="158" t="s">
        <v>872</v>
      </c>
    </row>
    <row r="103" spans="1:10" x14ac:dyDescent="0.3">
      <c r="A103" s="153" t="s">
        <v>581</v>
      </c>
      <c r="B103" s="145" t="s">
        <v>7</v>
      </c>
      <c r="C103" s="147" t="s">
        <v>415</v>
      </c>
      <c r="D103" s="147" t="s">
        <v>465</v>
      </c>
      <c r="E103" s="5" t="str">
        <f t="shared" si="1"/>
        <v>EE03</v>
      </c>
      <c r="F103" s="147" t="s">
        <v>466</v>
      </c>
      <c r="G103" s="147" t="s">
        <v>880</v>
      </c>
      <c r="H103" s="147">
        <v>10</v>
      </c>
      <c r="I103" s="147"/>
      <c r="J103" s="158">
        <v>15</v>
      </c>
    </row>
    <row r="104" spans="1:10" x14ac:dyDescent="0.3">
      <c r="A104" s="153" t="s">
        <v>581</v>
      </c>
      <c r="B104" s="145" t="s">
        <v>7</v>
      </c>
      <c r="C104" s="147" t="s">
        <v>415</v>
      </c>
      <c r="D104" s="147" t="s">
        <v>467</v>
      </c>
      <c r="E104" s="5" t="str">
        <f t="shared" si="1"/>
        <v>EE04</v>
      </c>
      <c r="F104" s="147" t="s">
        <v>468</v>
      </c>
      <c r="G104" s="147" t="s">
        <v>880</v>
      </c>
      <c r="H104" s="147">
        <v>10</v>
      </c>
      <c r="I104" s="147"/>
      <c r="J104" s="158">
        <v>15</v>
      </c>
    </row>
    <row r="105" spans="1:10" x14ac:dyDescent="0.3">
      <c r="A105" s="153" t="s">
        <v>581</v>
      </c>
      <c r="B105" s="145" t="s">
        <v>7</v>
      </c>
      <c r="C105" s="147" t="s">
        <v>469</v>
      </c>
      <c r="D105" s="147" t="s">
        <v>470</v>
      </c>
      <c r="E105" s="5" t="str">
        <f t="shared" si="1"/>
        <v>EE05</v>
      </c>
      <c r="F105" s="147" t="s">
        <v>471</v>
      </c>
      <c r="G105" s="147" t="s">
        <v>880</v>
      </c>
      <c r="H105" s="147">
        <v>10</v>
      </c>
      <c r="I105" s="147">
        <f>SUM(H101:H105)</f>
        <v>50</v>
      </c>
      <c r="J105" s="158">
        <v>12</v>
      </c>
    </row>
    <row r="106" spans="1:10" x14ac:dyDescent="0.3">
      <c r="A106" s="153" t="s">
        <v>581</v>
      </c>
      <c r="B106" s="145" t="s">
        <v>100</v>
      </c>
      <c r="C106" s="147" t="s">
        <v>472</v>
      </c>
      <c r="D106" s="147" t="s">
        <v>473</v>
      </c>
      <c r="E106" s="5" t="str">
        <f t="shared" si="1"/>
        <v>ES01</v>
      </c>
      <c r="F106" s="147" t="s">
        <v>474</v>
      </c>
      <c r="G106" s="147" t="s">
        <v>880</v>
      </c>
      <c r="H106" s="147">
        <v>10</v>
      </c>
      <c r="I106" s="147"/>
      <c r="J106" s="158" t="s">
        <v>873</v>
      </c>
    </row>
    <row r="107" spans="1:10" x14ac:dyDescent="0.3">
      <c r="A107" s="153" t="s">
        <v>581</v>
      </c>
      <c r="B107" s="145" t="s">
        <v>100</v>
      </c>
      <c r="C107" s="147" t="s">
        <v>475</v>
      </c>
      <c r="D107" s="147" t="s">
        <v>476</v>
      </c>
      <c r="E107" s="5" t="str">
        <f t="shared" si="1"/>
        <v>ES02</v>
      </c>
      <c r="F107" s="147" t="s">
        <v>477</v>
      </c>
      <c r="G107" s="147" t="s">
        <v>879</v>
      </c>
      <c r="H107" s="147">
        <v>10</v>
      </c>
      <c r="I107" s="147"/>
      <c r="J107" s="158" t="s">
        <v>874</v>
      </c>
    </row>
    <row r="108" spans="1:10" x14ac:dyDescent="0.3">
      <c r="A108" s="153" t="s">
        <v>581</v>
      </c>
      <c r="B108" s="145" t="s">
        <v>100</v>
      </c>
      <c r="C108" s="147" t="s">
        <v>423</v>
      </c>
      <c r="D108" s="147" t="s">
        <v>478</v>
      </c>
      <c r="E108" s="5" t="str">
        <f t="shared" si="1"/>
        <v>ES03</v>
      </c>
      <c r="F108" s="147" t="s">
        <v>479</v>
      </c>
      <c r="G108" s="147" t="s">
        <v>880</v>
      </c>
      <c r="H108" s="147">
        <v>10</v>
      </c>
      <c r="I108" s="147">
        <f>SUM(H106:H108)</f>
        <v>30</v>
      </c>
      <c r="J108" s="158" t="s">
        <v>875</v>
      </c>
    </row>
    <row r="109" spans="1:10" x14ac:dyDescent="0.3">
      <c r="A109" s="153" t="s">
        <v>581</v>
      </c>
      <c r="B109" s="145" t="s">
        <v>239</v>
      </c>
      <c r="C109" s="147" t="s">
        <v>480</v>
      </c>
      <c r="D109" s="147" t="s">
        <v>481</v>
      </c>
      <c r="E109" s="5" t="str">
        <f t="shared" si="1"/>
        <v>EG01</v>
      </c>
      <c r="F109" s="147" t="s">
        <v>482</v>
      </c>
      <c r="G109" s="147" t="s">
        <v>880</v>
      </c>
      <c r="H109" s="147">
        <v>10</v>
      </c>
      <c r="I109" s="147"/>
      <c r="J109" s="158">
        <v>12</v>
      </c>
    </row>
    <row r="110" spans="1:10" x14ac:dyDescent="0.3">
      <c r="A110" s="153" t="s">
        <v>581</v>
      </c>
      <c r="B110" s="146" t="s">
        <v>239</v>
      </c>
      <c r="C110" s="148" t="s">
        <v>483</v>
      </c>
      <c r="D110" s="148" t="s">
        <v>484</v>
      </c>
      <c r="E110" s="5" t="str">
        <f t="shared" si="1"/>
        <v>EG02</v>
      </c>
      <c r="F110" s="148" t="s">
        <v>485</v>
      </c>
      <c r="G110" s="148" t="s">
        <v>880</v>
      </c>
      <c r="H110" s="148">
        <v>10</v>
      </c>
      <c r="I110" s="148">
        <f>SUM(H109:H110)</f>
        <v>20</v>
      </c>
      <c r="J110" s="159">
        <v>12</v>
      </c>
    </row>
    <row r="111" spans="1:10" x14ac:dyDescent="0.3">
      <c r="A111" s="153" t="s">
        <v>582</v>
      </c>
      <c r="B111" s="145" t="s">
        <v>7</v>
      </c>
      <c r="C111" s="147" t="s">
        <v>486</v>
      </c>
      <c r="D111" s="147" t="s">
        <v>487</v>
      </c>
      <c r="E111" s="5" t="str">
        <f t="shared" si="1"/>
        <v>FE01</v>
      </c>
      <c r="F111" s="147" t="s">
        <v>488</v>
      </c>
      <c r="G111" s="153" t="s">
        <v>880</v>
      </c>
      <c r="H111" s="153">
        <v>10</v>
      </c>
      <c r="I111" s="153"/>
      <c r="J111" s="155">
        <v>15</v>
      </c>
    </row>
    <row r="112" spans="1:10" x14ac:dyDescent="0.3">
      <c r="A112" s="153" t="s">
        <v>582</v>
      </c>
      <c r="B112" s="145" t="s">
        <v>7</v>
      </c>
      <c r="C112" s="147" t="s">
        <v>486</v>
      </c>
      <c r="D112" s="147" t="s">
        <v>489</v>
      </c>
      <c r="E112" s="5" t="str">
        <f t="shared" si="1"/>
        <v>FE02</v>
      </c>
      <c r="F112" s="147" t="s">
        <v>490</v>
      </c>
      <c r="G112" s="153" t="s">
        <v>880</v>
      </c>
      <c r="H112" s="153">
        <v>10</v>
      </c>
      <c r="I112" s="153"/>
      <c r="J112" s="155" t="s">
        <v>870</v>
      </c>
    </row>
    <row r="113" spans="1:10" x14ac:dyDescent="0.3">
      <c r="A113" s="153" t="s">
        <v>582</v>
      </c>
      <c r="B113" s="145" t="s">
        <v>7</v>
      </c>
      <c r="C113" s="147" t="s">
        <v>415</v>
      </c>
      <c r="D113" s="147" t="s">
        <v>491</v>
      </c>
      <c r="E113" s="5" t="str">
        <f t="shared" si="1"/>
        <v>FE03</v>
      </c>
      <c r="F113" s="147" t="s">
        <v>492</v>
      </c>
      <c r="G113" s="153" t="s">
        <v>880</v>
      </c>
      <c r="H113" s="153">
        <v>10</v>
      </c>
      <c r="I113" s="153"/>
      <c r="J113" s="155">
        <v>15</v>
      </c>
    </row>
    <row r="114" spans="1:10" x14ac:dyDescent="0.3">
      <c r="A114" s="153" t="s">
        <v>582</v>
      </c>
      <c r="B114" s="145" t="s">
        <v>7</v>
      </c>
      <c r="C114" s="147" t="s">
        <v>460</v>
      </c>
      <c r="D114" s="147" t="s">
        <v>493</v>
      </c>
      <c r="E114" s="5" t="str">
        <f t="shared" si="1"/>
        <v>FE04</v>
      </c>
      <c r="F114" s="147" t="s">
        <v>494</v>
      </c>
      <c r="G114" s="153" t="s">
        <v>880</v>
      </c>
      <c r="H114" s="153">
        <v>10</v>
      </c>
      <c r="I114" s="153"/>
      <c r="J114" s="155" t="s">
        <v>871</v>
      </c>
    </row>
    <row r="115" spans="1:10" x14ac:dyDescent="0.3">
      <c r="A115" s="153" t="s">
        <v>582</v>
      </c>
      <c r="B115" s="145" t="s">
        <v>7</v>
      </c>
      <c r="C115" s="147" t="s">
        <v>460</v>
      </c>
      <c r="D115" s="147" t="s">
        <v>495</v>
      </c>
      <c r="E115" s="5" t="str">
        <f t="shared" si="1"/>
        <v>FE05</v>
      </c>
      <c r="F115" s="147" t="s">
        <v>496</v>
      </c>
      <c r="G115" s="153" t="s">
        <v>880</v>
      </c>
      <c r="H115" s="153">
        <v>10</v>
      </c>
      <c r="I115" s="153">
        <f>SUM(H111:H115)</f>
        <v>50</v>
      </c>
      <c r="J115" s="155" t="s">
        <v>872</v>
      </c>
    </row>
    <row r="116" spans="1:10" x14ac:dyDescent="0.3">
      <c r="A116" s="153" t="s">
        <v>582</v>
      </c>
      <c r="B116" s="145" t="s">
        <v>100</v>
      </c>
      <c r="C116" s="147" t="s">
        <v>472</v>
      </c>
      <c r="D116" s="147" t="s">
        <v>497</v>
      </c>
      <c r="E116" s="5" t="str">
        <f t="shared" si="1"/>
        <v>FS01</v>
      </c>
      <c r="F116" s="147" t="s">
        <v>474</v>
      </c>
      <c r="G116" s="153" t="s">
        <v>880</v>
      </c>
      <c r="H116" s="153">
        <v>10</v>
      </c>
      <c r="I116" s="153"/>
      <c r="J116" s="155" t="s">
        <v>873</v>
      </c>
    </row>
    <row r="117" spans="1:10" x14ac:dyDescent="0.3">
      <c r="A117" s="153" t="s">
        <v>582</v>
      </c>
      <c r="B117" s="145" t="s">
        <v>100</v>
      </c>
      <c r="C117" s="147" t="s">
        <v>472</v>
      </c>
      <c r="D117" s="147" t="s">
        <v>498</v>
      </c>
      <c r="E117" s="5" t="str">
        <f t="shared" si="1"/>
        <v>FS02</v>
      </c>
      <c r="F117" s="147" t="s">
        <v>499</v>
      </c>
      <c r="G117" s="153" t="s">
        <v>880</v>
      </c>
      <c r="H117" s="153">
        <v>10</v>
      </c>
      <c r="I117" s="153"/>
      <c r="J117" s="155" t="s">
        <v>607</v>
      </c>
    </row>
    <row r="118" spans="1:10" x14ac:dyDescent="0.3">
      <c r="A118" s="153" t="s">
        <v>582</v>
      </c>
      <c r="B118" s="145" t="s">
        <v>100</v>
      </c>
      <c r="C118" s="147" t="s">
        <v>472</v>
      </c>
      <c r="D118" s="147" t="s">
        <v>500</v>
      </c>
      <c r="E118" s="5" t="str">
        <f t="shared" si="1"/>
        <v>FS03</v>
      </c>
      <c r="F118" s="147" t="s">
        <v>479</v>
      </c>
      <c r="G118" s="153" t="s">
        <v>880</v>
      </c>
      <c r="H118" s="153">
        <v>10</v>
      </c>
      <c r="I118" s="153"/>
      <c r="J118" s="155" t="s">
        <v>875</v>
      </c>
    </row>
    <row r="119" spans="1:10" x14ac:dyDescent="0.3">
      <c r="A119" s="153" t="s">
        <v>582</v>
      </c>
      <c r="B119" s="145" t="s">
        <v>100</v>
      </c>
      <c r="C119" s="147" t="s">
        <v>501</v>
      </c>
      <c r="D119" s="147" t="s">
        <v>502</v>
      </c>
      <c r="E119" s="5" t="str">
        <f t="shared" si="1"/>
        <v>FS04</v>
      </c>
      <c r="F119" s="147" t="s">
        <v>503</v>
      </c>
      <c r="G119" s="153" t="s">
        <v>880</v>
      </c>
      <c r="H119" s="153">
        <v>10</v>
      </c>
      <c r="I119" s="153">
        <f>SUM(H116:H119)</f>
        <v>40</v>
      </c>
      <c r="J119" s="155" t="s">
        <v>870</v>
      </c>
    </row>
    <row r="120" spans="1:10" x14ac:dyDescent="0.3">
      <c r="A120" s="153" t="s">
        <v>582</v>
      </c>
      <c r="B120" s="146" t="s">
        <v>239</v>
      </c>
      <c r="C120" s="154" t="s">
        <v>504</v>
      </c>
      <c r="D120" s="154" t="s">
        <v>505</v>
      </c>
      <c r="E120" s="5" t="str">
        <f t="shared" si="1"/>
        <v>FG01</v>
      </c>
      <c r="F120" s="148" t="s">
        <v>506</v>
      </c>
      <c r="G120" s="153" t="s">
        <v>879</v>
      </c>
      <c r="H120" s="153">
        <v>10</v>
      </c>
      <c r="I120" s="153" t="e">
        <f>SUM(Tabela5[[#This Row],[Coluna1]])</f>
        <v>#VALUE!</v>
      </c>
      <c r="J120" s="155">
        <v>16</v>
      </c>
    </row>
    <row r="121" spans="1:10" x14ac:dyDescent="0.3">
      <c r="A121" s="153" t="s">
        <v>583</v>
      </c>
      <c r="B121" s="145" t="s">
        <v>7</v>
      </c>
      <c r="C121" s="147" t="s">
        <v>486</v>
      </c>
      <c r="D121" s="147" t="s">
        <v>515</v>
      </c>
      <c r="E121" s="5" t="str">
        <f t="shared" si="1"/>
        <v>G1E01</v>
      </c>
      <c r="F121" s="147" t="s">
        <v>573</v>
      </c>
      <c r="G121" s="153" t="s">
        <v>880</v>
      </c>
      <c r="H121" s="153">
        <v>10</v>
      </c>
      <c r="I121" s="153"/>
      <c r="J121" s="155">
        <v>15</v>
      </c>
    </row>
    <row r="122" spans="1:10" x14ac:dyDescent="0.3">
      <c r="A122" s="153" t="s">
        <v>583</v>
      </c>
      <c r="B122" s="145" t="s">
        <v>7</v>
      </c>
      <c r="C122" s="147" t="s">
        <v>486</v>
      </c>
      <c r="D122" s="147" t="s">
        <v>517</v>
      </c>
      <c r="E122" s="5" t="str">
        <f t="shared" si="1"/>
        <v>G1E02</v>
      </c>
      <c r="F122" s="147" t="s">
        <v>574</v>
      </c>
      <c r="G122" s="153" t="s">
        <v>880</v>
      </c>
      <c r="H122" s="153">
        <v>10</v>
      </c>
      <c r="I122" s="153"/>
      <c r="J122" s="155">
        <v>15</v>
      </c>
    </row>
    <row r="123" spans="1:10" x14ac:dyDescent="0.3">
      <c r="A123" s="153" t="s">
        <v>583</v>
      </c>
      <c r="B123" s="145" t="s">
        <v>7</v>
      </c>
      <c r="C123" s="147" t="s">
        <v>415</v>
      </c>
      <c r="D123" s="147" t="s">
        <v>519</v>
      </c>
      <c r="E123" s="5" t="str">
        <f t="shared" si="1"/>
        <v>G1E03</v>
      </c>
      <c r="F123" s="147" t="s">
        <v>492</v>
      </c>
      <c r="G123" s="153" t="s">
        <v>880</v>
      </c>
      <c r="H123" s="153">
        <v>10</v>
      </c>
      <c r="I123" s="153"/>
      <c r="J123" s="155">
        <v>15</v>
      </c>
    </row>
    <row r="124" spans="1:10" x14ac:dyDescent="0.3">
      <c r="A124" s="153" t="s">
        <v>583</v>
      </c>
      <c r="B124" s="145" t="s">
        <v>7</v>
      </c>
      <c r="C124" s="147" t="s">
        <v>460</v>
      </c>
      <c r="D124" s="147" t="s">
        <v>520</v>
      </c>
      <c r="E124" s="5" t="str">
        <f t="shared" si="1"/>
        <v>G1E04</v>
      </c>
      <c r="F124" s="147" t="s">
        <v>494</v>
      </c>
      <c r="G124" s="153" t="s">
        <v>880</v>
      </c>
      <c r="H124" s="153">
        <v>10</v>
      </c>
      <c r="I124" s="153"/>
      <c r="J124" s="155" t="s">
        <v>871</v>
      </c>
    </row>
    <row r="125" spans="1:10" x14ac:dyDescent="0.3">
      <c r="A125" s="153" t="s">
        <v>583</v>
      </c>
      <c r="B125" s="145" t="s">
        <v>7</v>
      </c>
      <c r="C125" s="147" t="s">
        <v>460</v>
      </c>
      <c r="D125" s="147" t="s">
        <v>521</v>
      </c>
      <c r="E125" s="5" t="str">
        <f t="shared" si="1"/>
        <v>G1E05</v>
      </c>
      <c r="F125" s="147" t="s">
        <v>496</v>
      </c>
      <c r="G125" s="153" t="s">
        <v>880</v>
      </c>
      <c r="H125" s="153">
        <v>10</v>
      </c>
      <c r="I125" s="153"/>
      <c r="J125" s="155" t="s">
        <v>872</v>
      </c>
    </row>
    <row r="126" spans="1:10" x14ac:dyDescent="0.3">
      <c r="A126" s="153" t="s">
        <v>583</v>
      </c>
      <c r="B126" s="145" t="s">
        <v>7</v>
      </c>
      <c r="C126" s="147" t="s">
        <v>523</v>
      </c>
      <c r="D126" s="147" t="s">
        <v>522</v>
      </c>
      <c r="E126" s="5" t="str">
        <f t="shared" si="1"/>
        <v>G1E06</v>
      </c>
      <c r="F126" s="147" t="s">
        <v>523</v>
      </c>
      <c r="G126" s="153" t="s">
        <v>880</v>
      </c>
      <c r="H126" s="153">
        <v>10</v>
      </c>
      <c r="I126" s="153">
        <f>SUM(H121:H126)</f>
        <v>60</v>
      </c>
      <c r="J126" s="155">
        <v>15</v>
      </c>
    </row>
    <row r="127" spans="1:10" x14ac:dyDescent="0.3">
      <c r="A127" s="153" t="s">
        <v>583</v>
      </c>
      <c r="B127" s="145" t="s">
        <v>100</v>
      </c>
      <c r="C127" s="147" t="s">
        <v>575</v>
      </c>
      <c r="D127" s="147" t="s">
        <v>524</v>
      </c>
      <c r="E127" s="5" t="str">
        <f t="shared" si="1"/>
        <v>G1S01</v>
      </c>
      <c r="F127" s="147" t="s">
        <v>525</v>
      </c>
      <c r="G127" s="153" t="s">
        <v>880</v>
      </c>
      <c r="H127" s="153">
        <v>10</v>
      </c>
      <c r="I127" s="153"/>
      <c r="J127" s="155" t="s">
        <v>875</v>
      </c>
    </row>
    <row r="128" spans="1:10" x14ac:dyDescent="0.3">
      <c r="A128" s="153" t="s">
        <v>583</v>
      </c>
      <c r="B128" s="145" t="s">
        <v>100</v>
      </c>
      <c r="C128" s="147" t="s">
        <v>472</v>
      </c>
      <c r="D128" s="147" t="s">
        <v>526</v>
      </c>
      <c r="E128" s="5" t="str">
        <f t="shared" si="1"/>
        <v>G1S02</v>
      </c>
      <c r="F128" s="147" t="s">
        <v>499</v>
      </c>
      <c r="G128" s="153" t="s">
        <v>880</v>
      </c>
      <c r="H128" s="153">
        <v>10</v>
      </c>
      <c r="I128" s="153"/>
      <c r="J128" s="155" t="s">
        <v>607</v>
      </c>
    </row>
    <row r="129" spans="1:10" x14ac:dyDescent="0.3">
      <c r="A129" s="153" t="s">
        <v>583</v>
      </c>
      <c r="B129" s="145" t="s">
        <v>100</v>
      </c>
      <c r="C129" s="147" t="s">
        <v>472</v>
      </c>
      <c r="D129" s="147" t="s">
        <v>527</v>
      </c>
      <c r="E129" s="5" t="str">
        <f t="shared" si="1"/>
        <v>G1S03</v>
      </c>
      <c r="F129" s="147" t="s">
        <v>479</v>
      </c>
      <c r="G129" s="153" t="s">
        <v>880</v>
      </c>
      <c r="H129" s="153">
        <v>10</v>
      </c>
      <c r="I129" s="153">
        <f>SUM(H127:H129)</f>
        <v>30</v>
      </c>
      <c r="J129" s="155" t="s">
        <v>875</v>
      </c>
    </row>
    <row r="130" spans="1:10" x14ac:dyDescent="0.3">
      <c r="A130" s="153" t="s">
        <v>583</v>
      </c>
      <c r="B130" s="146" t="s">
        <v>239</v>
      </c>
      <c r="C130" s="154" t="s">
        <v>504</v>
      </c>
      <c r="D130" s="154" t="s">
        <v>528</v>
      </c>
      <c r="E130" s="5" t="str">
        <f t="shared" si="1"/>
        <v>G1G01</v>
      </c>
      <c r="F130" s="148" t="s">
        <v>506</v>
      </c>
      <c r="G130" s="153" t="s">
        <v>879</v>
      </c>
      <c r="H130" s="153">
        <v>10</v>
      </c>
      <c r="I130" s="153"/>
      <c r="J130" s="155">
        <v>16</v>
      </c>
    </row>
    <row r="131" spans="1:10" x14ac:dyDescent="0.3">
      <c r="A131" s="153" t="s">
        <v>584</v>
      </c>
      <c r="B131" s="139" t="s">
        <v>7</v>
      </c>
      <c r="C131" s="140" t="s">
        <v>372</v>
      </c>
      <c r="D131" s="140" t="s">
        <v>546</v>
      </c>
      <c r="E131" s="5" t="str">
        <f t="shared" ref="E131:E140" si="2">SUBSTITUTE(D131," ","")</f>
        <v>HE01</v>
      </c>
      <c r="F131" s="140" t="s">
        <v>374</v>
      </c>
      <c r="G131" s="153" t="s">
        <v>879</v>
      </c>
      <c r="H131" s="153">
        <v>10</v>
      </c>
      <c r="I131" s="153"/>
      <c r="J131" s="155">
        <v>12</v>
      </c>
    </row>
    <row r="132" spans="1:10" x14ac:dyDescent="0.3">
      <c r="A132" s="153" t="s">
        <v>584</v>
      </c>
      <c r="B132" s="139" t="s">
        <v>7</v>
      </c>
      <c r="C132" s="140" t="s">
        <v>372</v>
      </c>
      <c r="D132" s="140" t="s">
        <v>548</v>
      </c>
      <c r="E132" s="5" t="str">
        <f t="shared" si="2"/>
        <v>HE02</v>
      </c>
      <c r="F132" s="140" t="s">
        <v>376</v>
      </c>
      <c r="G132" s="153" t="s">
        <v>879</v>
      </c>
      <c r="H132" s="153">
        <v>10</v>
      </c>
      <c r="I132" s="153"/>
      <c r="J132" s="155">
        <v>12</v>
      </c>
    </row>
    <row r="133" spans="1:10" x14ac:dyDescent="0.3">
      <c r="A133" s="153" t="s">
        <v>584</v>
      </c>
      <c r="B133" s="139" t="s">
        <v>7</v>
      </c>
      <c r="C133" s="140" t="s">
        <v>377</v>
      </c>
      <c r="D133" s="140" t="s">
        <v>549</v>
      </c>
      <c r="E133" s="5" t="str">
        <f t="shared" si="2"/>
        <v>HE03</v>
      </c>
      <c r="F133" s="140" t="s">
        <v>379</v>
      </c>
      <c r="G133" s="153" t="s">
        <v>880</v>
      </c>
      <c r="H133" s="153">
        <v>10</v>
      </c>
      <c r="I133" s="153"/>
      <c r="J133" s="155">
        <v>12</v>
      </c>
    </row>
    <row r="134" spans="1:10" x14ac:dyDescent="0.3">
      <c r="A134" s="153" t="s">
        <v>584</v>
      </c>
      <c r="B134" s="139" t="s">
        <v>7</v>
      </c>
      <c r="C134" s="140" t="s">
        <v>377</v>
      </c>
      <c r="D134" s="140" t="s">
        <v>550</v>
      </c>
      <c r="E134" s="5" t="str">
        <f t="shared" si="2"/>
        <v>HE04</v>
      </c>
      <c r="F134" s="140" t="s">
        <v>381</v>
      </c>
      <c r="G134" s="153" t="s">
        <v>880</v>
      </c>
      <c r="H134" s="153">
        <v>10</v>
      </c>
      <c r="I134" s="153"/>
      <c r="J134" s="155">
        <v>15</v>
      </c>
    </row>
    <row r="135" spans="1:10" x14ac:dyDescent="0.3">
      <c r="A135" s="153" t="s">
        <v>584</v>
      </c>
      <c r="B135" s="139" t="s">
        <v>7</v>
      </c>
      <c r="C135" s="140" t="s">
        <v>377</v>
      </c>
      <c r="D135" s="140" t="s">
        <v>619</v>
      </c>
      <c r="E135" s="5" t="str">
        <f t="shared" si="2"/>
        <v>HE05</v>
      </c>
      <c r="F135" s="140" t="s">
        <v>383</v>
      </c>
      <c r="G135" s="153" t="s">
        <v>879</v>
      </c>
      <c r="H135" s="153">
        <v>10</v>
      </c>
      <c r="I135" s="153"/>
      <c r="J135" s="155">
        <v>12</v>
      </c>
    </row>
    <row r="136" spans="1:10" x14ac:dyDescent="0.3">
      <c r="A136" s="153" t="s">
        <v>584</v>
      </c>
      <c r="B136" s="139" t="s">
        <v>7</v>
      </c>
      <c r="C136" s="140" t="s">
        <v>384</v>
      </c>
      <c r="D136" s="140" t="s">
        <v>615</v>
      </c>
      <c r="E136" s="5" t="str">
        <f t="shared" si="2"/>
        <v>HE06</v>
      </c>
      <c r="F136" s="140" t="s">
        <v>385</v>
      </c>
      <c r="G136" s="153" t="s">
        <v>880</v>
      </c>
      <c r="H136" s="153">
        <v>10</v>
      </c>
      <c r="I136" s="153"/>
      <c r="J136" s="155">
        <v>12</v>
      </c>
    </row>
    <row r="137" spans="1:10" x14ac:dyDescent="0.3">
      <c r="A137" s="153" t="s">
        <v>584</v>
      </c>
      <c r="B137" s="139" t="s">
        <v>7</v>
      </c>
      <c r="C137" s="140" t="s">
        <v>384</v>
      </c>
      <c r="D137" s="140" t="s">
        <v>616</v>
      </c>
      <c r="E137" s="5" t="str">
        <f t="shared" si="2"/>
        <v>HE07</v>
      </c>
      <c r="F137" s="140" t="s">
        <v>386</v>
      </c>
      <c r="G137" s="153" t="s">
        <v>880</v>
      </c>
      <c r="H137" s="153">
        <v>10</v>
      </c>
      <c r="I137" s="153"/>
      <c r="J137" s="155">
        <v>13</v>
      </c>
    </row>
    <row r="138" spans="1:10" x14ac:dyDescent="0.3">
      <c r="A138" s="153" t="s">
        <v>584</v>
      </c>
      <c r="B138" s="139" t="s">
        <v>7</v>
      </c>
      <c r="C138" s="140" t="s">
        <v>387</v>
      </c>
      <c r="D138" s="140" t="s">
        <v>617</v>
      </c>
      <c r="E138" s="5" t="str">
        <f t="shared" si="2"/>
        <v>HE08</v>
      </c>
      <c r="F138" s="140" t="s">
        <v>388</v>
      </c>
      <c r="G138" s="153" t="s">
        <v>880</v>
      </c>
      <c r="H138" s="153">
        <v>10</v>
      </c>
      <c r="I138" s="153"/>
      <c r="J138" s="155">
        <v>12</v>
      </c>
    </row>
    <row r="139" spans="1:10" x14ac:dyDescent="0.3">
      <c r="A139" s="153" t="s">
        <v>584</v>
      </c>
      <c r="B139" s="139" t="s">
        <v>7</v>
      </c>
      <c r="C139" s="140" t="s">
        <v>387</v>
      </c>
      <c r="D139" s="140" t="s">
        <v>618</v>
      </c>
      <c r="E139" s="5" t="str">
        <f t="shared" si="2"/>
        <v>HE09</v>
      </c>
      <c r="F139" s="140" t="s">
        <v>389</v>
      </c>
      <c r="G139" s="153" t="s">
        <v>879</v>
      </c>
      <c r="H139" s="153">
        <v>0</v>
      </c>
      <c r="I139" s="153">
        <f>SUM(H131:H139)</f>
        <v>80</v>
      </c>
      <c r="J139" s="155">
        <v>12</v>
      </c>
    </row>
    <row r="140" spans="1:10" x14ac:dyDescent="0.3">
      <c r="A140" s="153" t="s">
        <v>584</v>
      </c>
      <c r="B140" s="139" t="s">
        <v>100</v>
      </c>
      <c r="C140" s="140" t="s">
        <v>390</v>
      </c>
      <c r="D140" s="140" t="s">
        <v>551</v>
      </c>
      <c r="E140" s="5" t="str">
        <f t="shared" si="2"/>
        <v>HS01</v>
      </c>
      <c r="F140" s="140" t="s">
        <v>392</v>
      </c>
      <c r="G140" s="153" t="s">
        <v>880</v>
      </c>
      <c r="H140" s="153">
        <v>10</v>
      </c>
      <c r="I140" s="153"/>
      <c r="J140" s="155" t="s">
        <v>876</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163BF-697A-4224-9908-012FB0241A07}">
  <sheetPr>
    <pageSetUpPr fitToPage="1"/>
  </sheetPr>
  <dimension ref="A1:J61"/>
  <sheetViews>
    <sheetView topLeftCell="A18" zoomScaleNormal="100" workbookViewId="0">
      <selection activeCell="B2" sqref="B2:I61"/>
    </sheetView>
  </sheetViews>
  <sheetFormatPr defaultColWidth="8.88671875" defaultRowHeight="14.4" x14ac:dyDescent="0.3"/>
  <cols>
    <col min="1" max="1" width="3" style="7" bestFit="1" customWidth="1"/>
    <col min="2" max="2" width="25" style="20" bestFit="1" customWidth="1"/>
    <col min="3" max="3" width="45.21875" style="20" bestFit="1" customWidth="1"/>
    <col min="4" max="4" width="12.88671875" style="20" customWidth="1"/>
    <col min="5" max="5" width="74.5546875" style="20" customWidth="1"/>
    <col min="6" max="6" width="10.6640625" bestFit="1" customWidth="1"/>
    <col min="7" max="7" width="15.6640625" style="7" customWidth="1"/>
    <col min="8" max="8" width="10.5546875" style="7" customWidth="1"/>
    <col min="9" max="9" width="10.44140625" style="7" customWidth="1"/>
    <col min="10" max="10" width="9.5546875" style="94" customWidth="1"/>
    <col min="11" max="16384" width="8.88671875" style="7"/>
  </cols>
  <sheetData>
    <row r="1" spans="1:10" x14ac:dyDescent="0.3">
      <c r="B1" s="20" t="s">
        <v>877</v>
      </c>
      <c r="F1" s="7"/>
      <c r="I1" s="94"/>
      <c r="J1" s="7"/>
    </row>
    <row r="2" spans="1:10" x14ac:dyDescent="0.3">
      <c r="A2" s="17" t="s">
        <v>507</v>
      </c>
      <c r="B2" s="18" t="s">
        <v>0</v>
      </c>
      <c r="C2" s="18" t="s">
        <v>1</v>
      </c>
      <c r="D2" s="18" t="s">
        <v>2</v>
      </c>
      <c r="E2" s="18" t="s">
        <v>3</v>
      </c>
      <c r="F2" s="23" t="s">
        <v>534</v>
      </c>
      <c r="G2" s="23" t="s">
        <v>587</v>
      </c>
      <c r="H2" s="23" t="s">
        <v>567</v>
      </c>
      <c r="I2" s="104" t="s">
        <v>513</v>
      </c>
      <c r="J2" s="7"/>
    </row>
    <row r="3" spans="1:10" x14ac:dyDescent="0.3">
      <c r="A3" s="7">
        <v>1</v>
      </c>
      <c r="B3" s="19" t="s">
        <v>7</v>
      </c>
      <c r="C3" s="8" t="s">
        <v>8</v>
      </c>
      <c r="D3" s="8" t="s">
        <v>9</v>
      </c>
      <c r="E3" s="8" t="s">
        <v>10</v>
      </c>
      <c r="F3" s="8" t="s">
        <v>558</v>
      </c>
      <c r="G3" s="8">
        <v>10</v>
      </c>
      <c r="H3" s="8"/>
      <c r="I3" s="92">
        <v>16</v>
      </c>
      <c r="J3" s="7"/>
    </row>
    <row r="4" spans="1:10" x14ac:dyDescent="0.3">
      <c r="A4" s="7">
        <v>2</v>
      </c>
      <c r="B4" s="19" t="s">
        <v>7</v>
      </c>
      <c r="C4" s="8" t="s">
        <v>8</v>
      </c>
      <c r="D4" s="8" t="s">
        <v>21</v>
      </c>
      <c r="E4" s="8" t="s">
        <v>22</v>
      </c>
      <c r="F4" s="8" t="s">
        <v>558</v>
      </c>
      <c r="G4" s="8">
        <v>10</v>
      </c>
      <c r="H4" s="8"/>
      <c r="I4" s="92">
        <v>16</v>
      </c>
      <c r="J4" s="7"/>
    </row>
    <row r="5" spans="1:10" x14ac:dyDescent="0.3">
      <c r="A5" s="7">
        <v>3</v>
      </c>
      <c r="B5" s="19" t="s">
        <v>7</v>
      </c>
      <c r="C5" s="8" t="s">
        <v>8</v>
      </c>
      <c r="D5" s="8" t="s">
        <v>27</v>
      </c>
      <c r="E5" s="8" t="s">
        <v>28</v>
      </c>
      <c r="F5" s="8" t="s">
        <v>558</v>
      </c>
      <c r="G5" s="8">
        <v>0</v>
      </c>
      <c r="H5" s="8"/>
      <c r="I5" s="92">
        <v>6</v>
      </c>
      <c r="J5" s="7"/>
    </row>
    <row r="6" spans="1:10" x14ac:dyDescent="0.3">
      <c r="A6" s="7">
        <v>4</v>
      </c>
      <c r="B6" s="19" t="s">
        <v>7</v>
      </c>
      <c r="C6" s="8" t="s">
        <v>8</v>
      </c>
      <c r="D6" s="8" t="s">
        <v>32</v>
      </c>
      <c r="E6" s="8" t="s">
        <v>33</v>
      </c>
      <c r="F6" s="8" t="s">
        <v>558</v>
      </c>
      <c r="G6" s="8">
        <v>10</v>
      </c>
      <c r="H6" s="8"/>
      <c r="I6" s="92">
        <v>16</v>
      </c>
      <c r="J6" s="7"/>
    </row>
    <row r="7" spans="1:10" x14ac:dyDescent="0.3">
      <c r="A7" s="7">
        <v>5</v>
      </c>
      <c r="B7" s="19" t="s">
        <v>7</v>
      </c>
      <c r="C7" s="8" t="s">
        <v>37</v>
      </c>
      <c r="D7" s="8" t="s">
        <v>38</v>
      </c>
      <c r="E7" s="8" t="s">
        <v>39</v>
      </c>
      <c r="F7" s="8" t="s">
        <v>558</v>
      </c>
      <c r="G7" s="8">
        <v>10</v>
      </c>
      <c r="H7" s="8"/>
      <c r="I7" s="92">
        <v>7</v>
      </c>
      <c r="J7" s="7"/>
    </row>
    <row r="8" spans="1:10" x14ac:dyDescent="0.3">
      <c r="A8" s="7">
        <v>6</v>
      </c>
      <c r="B8" s="19" t="s">
        <v>7</v>
      </c>
      <c r="C8" s="8" t="s">
        <v>37</v>
      </c>
      <c r="D8" s="8" t="s">
        <v>45</v>
      </c>
      <c r="E8" s="8" t="s">
        <v>46</v>
      </c>
      <c r="F8" s="8"/>
      <c r="G8" s="8">
        <v>10</v>
      </c>
      <c r="H8" s="8"/>
      <c r="I8" s="92">
        <v>7</v>
      </c>
      <c r="J8" s="7"/>
    </row>
    <row r="9" spans="1:10" x14ac:dyDescent="0.3">
      <c r="A9" s="7">
        <v>7</v>
      </c>
      <c r="B9" s="19" t="s">
        <v>7</v>
      </c>
      <c r="C9" s="8" t="s">
        <v>52</v>
      </c>
      <c r="D9" s="8" t="s">
        <v>53</v>
      </c>
      <c r="E9" s="8" t="s">
        <v>54</v>
      </c>
      <c r="F9" s="8" t="s">
        <v>558</v>
      </c>
      <c r="G9" s="8">
        <v>10</v>
      </c>
      <c r="H9" s="8"/>
      <c r="I9" s="92">
        <v>6</v>
      </c>
      <c r="J9" s="7"/>
    </row>
    <row r="10" spans="1:10" x14ac:dyDescent="0.3">
      <c r="A10" s="7">
        <v>8</v>
      </c>
      <c r="B10" s="19" t="s">
        <v>7</v>
      </c>
      <c r="C10" s="8" t="s">
        <v>52</v>
      </c>
      <c r="D10" s="8" t="s">
        <v>60</v>
      </c>
      <c r="E10" s="8" t="s">
        <v>61</v>
      </c>
      <c r="F10" s="8" t="s">
        <v>558</v>
      </c>
      <c r="G10" s="8">
        <v>10</v>
      </c>
      <c r="H10" s="8"/>
      <c r="I10" s="92">
        <v>6</v>
      </c>
      <c r="J10" s="7"/>
    </row>
    <row r="11" spans="1:10" x14ac:dyDescent="0.3">
      <c r="A11" s="7">
        <v>9</v>
      </c>
      <c r="B11" s="19" t="s">
        <v>7</v>
      </c>
      <c r="C11" s="8" t="s">
        <v>52</v>
      </c>
      <c r="D11" s="8" t="s">
        <v>66</v>
      </c>
      <c r="E11" s="8" t="s">
        <v>67</v>
      </c>
      <c r="F11" s="8"/>
      <c r="G11" s="8">
        <v>10</v>
      </c>
      <c r="H11" s="8"/>
      <c r="I11" s="92">
        <v>6</v>
      </c>
      <c r="J11" s="7"/>
    </row>
    <row r="12" spans="1:10" x14ac:dyDescent="0.3">
      <c r="A12" s="7">
        <v>10</v>
      </c>
      <c r="B12" s="19" t="s">
        <v>7</v>
      </c>
      <c r="C12" s="5" t="s">
        <v>866</v>
      </c>
      <c r="D12" s="8" t="s">
        <v>71</v>
      </c>
      <c r="E12" s="8" t="s">
        <v>72</v>
      </c>
      <c r="F12" s="8" t="s">
        <v>558</v>
      </c>
      <c r="G12" s="8">
        <v>10</v>
      </c>
      <c r="H12" s="8"/>
      <c r="I12" s="92">
        <v>12</v>
      </c>
      <c r="J12" s="7"/>
    </row>
    <row r="13" spans="1:10" x14ac:dyDescent="0.3">
      <c r="A13" s="7">
        <v>11</v>
      </c>
      <c r="B13" s="19" t="s">
        <v>7</v>
      </c>
      <c r="C13" s="5" t="s">
        <v>866</v>
      </c>
      <c r="D13" s="8" t="s">
        <v>77</v>
      </c>
      <c r="E13" s="8" t="s">
        <v>78</v>
      </c>
      <c r="F13" s="8" t="s">
        <v>558</v>
      </c>
      <c r="G13" s="8">
        <v>0</v>
      </c>
      <c r="H13" s="8"/>
      <c r="I13" s="92">
        <v>12</v>
      </c>
      <c r="J13" s="7"/>
    </row>
    <row r="14" spans="1:10" x14ac:dyDescent="0.3">
      <c r="A14" s="7">
        <v>12</v>
      </c>
      <c r="B14" s="19" t="s">
        <v>7</v>
      </c>
      <c r="C14" s="5" t="s">
        <v>866</v>
      </c>
      <c r="D14" s="8" t="s">
        <v>81</v>
      </c>
      <c r="E14" s="8" t="s">
        <v>82</v>
      </c>
      <c r="F14" s="8" t="s">
        <v>558</v>
      </c>
      <c r="G14" s="8">
        <v>10</v>
      </c>
      <c r="H14" s="8"/>
      <c r="I14" s="92">
        <v>12</v>
      </c>
      <c r="J14" s="7"/>
    </row>
    <row r="15" spans="1:10" x14ac:dyDescent="0.3">
      <c r="A15" s="7">
        <v>13</v>
      </c>
      <c r="B15" s="19" t="s">
        <v>7</v>
      </c>
      <c r="C15" s="5" t="s">
        <v>867</v>
      </c>
      <c r="D15" s="8" t="s">
        <v>87</v>
      </c>
      <c r="E15" s="8" t="s">
        <v>88</v>
      </c>
      <c r="F15" s="8"/>
      <c r="G15" s="8">
        <v>10</v>
      </c>
      <c r="H15" s="8"/>
      <c r="I15" s="92">
        <v>13</v>
      </c>
      <c r="J15" s="7"/>
    </row>
    <row r="16" spans="1:10" x14ac:dyDescent="0.3">
      <c r="A16" s="7">
        <v>14</v>
      </c>
      <c r="B16" s="19" t="s">
        <v>7</v>
      </c>
      <c r="C16" s="5" t="s">
        <v>867</v>
      </c>
      <c r="D16" s="8" t="s">
        <v>94</v>
      </c>
      <c r="E16" s="8" t="s">
        <v>95</v>
      </c>
      <c r="F16" s="8"/>
      <c r="G16" s="8">
        <v>10</v>
      </c>
      <c r="H16" s="55">
        <f>SUM(G3:G16)</f>
        <v>120</v>
      </c>
      <c r="I16" s="92">
        <v>13</v>
      </c>
      <c r="J16" s="7"/>
    </row>
    <row r="17" spans="1:10" x14ac:dyDescent="0.3">
      <c r="A17" s="7">
        <v>15</v>
      </c>
      <c r="B17" s="19" t="s">
        <v>100</v>
      </c>
      <c r="C17" s="8" t="s">
        <v>8</v>
      </c>
      <c r="D17" s="8" t="s">
        <v>101</v>
      </c>
      <c r="E17" s="8" t="s">
        <v>102</v>
      </c>
      <c r="F17" s="8" t="s">
        <v>558</v>
      </c>
      <c r="G17" s="8">
        <v>0</v>
      </c>
      <c r="H17" s="8"/>
      <c r="I17" s="92">
        <v>16</v>
      </c>
      <c r="J17" s="7"/>
    </row>
    <row r="18" spans="1:10" x14ac:dyDescent="0.3">
      <c r="A18" s="7">
        <v>16</v>
      </c>
      <c r="B18" s="19" t="s">
        <v>100</v>
      </c>
      <c r="C18" s="8" t="s">
        <v>8</v>
      </c>
      <c r="D18" s="8" t="s">
        <v>105</v>
      </c>
      <c r="E18" s="8" t="s">
        <v>106</v>
      </c>
      <c r="F18" s="8" t="s">
        <v>558</v>
      </c>
      <c r="G18" s="8">
        <v>0</v>
      </c>
      <c r="H18" s="8"/>
      <c r="I18" s="92">
        <v>16</v>
      </c>
      <c r="J18" s="7"/>
    </row>
    <row r="19" spans="1:10" x14ac:dyDescent="0.3">
      <c r="A19" s="7">
        <v>17</v>
      </c>
      <c r="B19" s="19" t="s">
        <v>100</v>
      </c>
      <c r="C19" s="8" t="s">
        <v>8</v>
      </c>
      <c r="D19" s="8" t="s">
        <v>109</v>
      </c>
      <c r="E19" s="8" t="s">
        <v>110</v>
      </c>
      <c r="F19" s="8" t="s">
        <v>558</v>
      </c>
      <c r="G19" s="8">
        <v>0</v>
      </c>
      <c r="H19" s="8"/>
      <c r="I19" s="92">
        <v>8</v>
      </c>
      <c r="J19" s="7"/>
    </row>
    <row r="20" spans="1:10" x14ac:dyDescent="0.3">
      <c r="A20" s="7">
        <v>18</v>
      </c>
      <c r="B20" s="19" t="s">
        <v>100</v>
      </c>
      <c r="C20" s="8" t="s">
        <v>8</v>
      </c>
      <c r="D20" s="8" t="s">
        <v>113</v>
      </c>
      <c r="E20" s="8" t="s">
        <v>588</v>
      </c>
      <c r="F20" s="8" t="s">
        <v>558</v>
      </c>
      <c r="G20" s="8">
        <v>0</v>
      </c>
      <c r="H20" s="8"/>
      <c r="I20" s="92">
        <v>8</v>
      </c>
      <c r="J20" s="7"/>
    </row>
    <row r="21" spans="1:10" x14ac:dyDescent="0.3">
      <c r="A21" s="7">
        <v>19</v>
      </c>
      <c r="B21" s="19" t="s">
        <v>100</v>
      </c>
      <c r="C21" s="8" t="s">
        <v>8</v>
      </c>
      <c r="D21" s="8" t="s">
        <v>117</v>
      </c>
      <c r="E21" s="8" t="s">
        <v>118</v>
      </c>
      <c r="F21" s="8" t="s">
        <v>558</v>
      </c>
      <c r="G21" s="8">
        <v>0</v>
      </c>
      <c r="H21" s="8"/>
      <c r="I21" s="92">
        <v>8</v>
      </c>
      <c r="J21" s="7"/>
    </row>
    <row r="22" spans="1:10" x14ac:dyDescent="0.3">
      <c r="A22" s="7">
        <v>20</v>
      </c>
      <c r="B22" s="19" t="s">
        <v>100</v>
      </c>
      <c r="C22" s="8" t="s">
        <v>8</v>
      </c>
      <c r="D22" s="8" t="s">
        <v>121</v>
      </c>
      <c r="E22" s="8" t="s">
        <v>122</v>
      </c>
      <c r="F22" s="8" t="s">
        <v>558</v>
      </c>
      <c r="G22" s="8">
        <v>0</v>
      </c>
      <c r="H22" s="8"/>
      <c r="I22" s="92">
        <v>8</v>
      </c>
      <c r="J22" s="7"/>
    </row>
    <row r="23" spans="1:10" x14ac:dyDescent="0.3">
      <c r="A23" s="7">
        <v>21</v>
      </c>
      <c r="B23" s="19" t="s">
        <v>100</v>
      </c>
      <c r="C23" s="8" t="s">
        <v>8</v>
      </c>
      <c r="D23" s="8" t="s">
        <v>125</v>
      </c>
      <c r="E23" s="8" t="s">
        <v>126</v>
      </c>
      <c r="F23" s="8" t="s">
        <v>558</v>
      </c>
      <c r="G23" s="8">
        <v>0</v>
      </c>
      <c r="H23" s="8"/>
      <c r="I23" s="92" t="s">
        <v>602</v>
      </c>
      <c r="J23" s="7"/>
    </row>
    <row r="24" spans="1:10" x14ac:dyDescent="0.3">
      <c r="A24" s="7">
        <v>22</v>
      </c>
      <c r="B24" s="19" t="s">
        <v>100</v>
      </c>
      <c r="C24" s="8" t="s">
        <v>868</v>
      </c>
      <c r="D24" s="8" t="s">
        <v>129</v>
      </c>
      <c r="E24" s="8" t="s">
        <v>130</v>
      </c>
      <c r="F24" s="8" t="s">
        <v>558</v>
      </c>
      <c r="G24" s="8">
        <v>10</v>
      </c>
      <c r="H24" s="8"/>
      <c r="I24" s="92">
        <v>8</v>
      </c>
      <c r="J24" s="7"/>
    </row>
    <row r="25" spans="1:10" x14ac:dyDescent="0.3">
      <c r="A25" s="7">
        <v>23</v>
      </c>
      <c r="B25" s="19" t="s">
        <v>100</v>
      </c>
      <c r="C25" s="8" t="s">
        <v>868</v>
      </c>
      <c r="D25" s="8" t="s">
        <v>136</v>
      </c>
      <c r="E25" s="8" t="s">
        <v>137</v>
      </c>
      <c r="F25" s="8" t="s">
        <v>558</v>
      </c>
      <c r="G25" s="8">
        <v>0</v>
      </c>
      <c r="H25" s="8"/>
      <c r="I25" s="92">
        <v>8</v>
      </c>
      <c r="J25" s="7"/>
    </row>
    <row r="26" spans="1:10" x14ac:dyDescent="0.3">
      <c r="A26" s="7">
        <v>24</v>
      </c>
      <c r="B26" s="19" t="s">
        <v>100</v>
      </c>
      <c r="C26" s="8" t="s">
        <v>868</v>
      </c>
      <c r="D26" s="8" t="s">
        <v>140</v>
      </c>
      <c r="E26" s="8" t="s">
        <v>141</v>
      </c>
      <c r="F26" s="8" t="s">
        <v>558</v>
      </c>
      <c r="G26" s="8">
        <v>10</v>
      </c>
      <c r="H26" s="8"/>
      <c r="I26" s="92">
        <v>8</v>
      </c>
      <c r="J26" s="7"/>
    </row>
    <row r="27" spans="1:10" x14ac:dyDescent="0.3">
      <c r="A27" s="7">
        <v>25</v>
      </c>
      <c r="B27" s="19" t="s">
        <v>100</v>
      </c>
      <c r="C27" s="8" t="s">
        <v>868</v>
      </c>
      <c r="D27" s="8" t="s">
        <v>146</v>
      </c>
      <c r="E27" s="8" t="s">
        <v>147</v>
      </c>
      <c r="F27" s="8"/>
      <c r="G27" s="8">
        <v>10</v>
      </c>
      <c r="H27" s="8"/>
      <c r="I27" s="92">
        <v>8</v>
      </c>
      <c r="J27" s="7"/>
    </row>
    <row r="28" spans="1:10" x14ac:dyDescent="0.3">
      <c r="A28" s="7">
        <v>26</v>
      </c>
      <c r="B28" s="19" t="s">
        <v>100</v>
      </c>
      <c r="C28" s="8" t="s">
        <v>152</v>
      </c>
      <c r="D28" s="8" t="s">
        <v>153</v>
      </c>
      <c r="E28" s="8" t="s">
        <v>154</v>
      </c>
      <c r="F28" s="8" t="s">
        <v>558</v>
      </c>
      <c r="G28" s="8">
        <v>10</v>
      </c>
      <c r="H28" s="8"/>
      <c r="I28" s="92">
        <v>8</v>
      </c>
      <c r="J28" s="7"/>
    </row>
    <row r="29" spans="1:10" x14ac:dyDescent="0.3">
      <c r="A29" s="7">
        <v>27</v>
      </c>
      <c r="B29" s="19" t="s">
        <v>100</v>
      </c>
      <c r="C29" s="8" t="s">
        <v>152</v>
      </c>
      <c r="D29" s="8" t="s">
        <v>158</v>
      </c>
      <c r="E29" s="8" t="s">
        <v>159</v>
      </c>
      <c r="F29" s="8"/>
      <c r="G29" s="8">
        <v>10</v>
      </c>
      <c r="H29" s="8"/>
      <c r="I29" s="92">
        <v>8</v>
      </c>
      <c r="J29" s="7"/>
    </row>
    <row r="30" spans="1:10" x14ac:dyDescent="0.3">
      <c r="A30" s="7">
        <v>28</v>
      </c>
      <c r="B30" s="19" t="s">
        <v>100</v>
      </c>
      <c r="C30" s="8" t="s">
        <v>152</v>
      </c>
      <c r="D30" s="8" t="s">
        <v>164</v>
      </c>
      <c r="E30" s="8" t="s">
        <v>165</v>
      </c>
      <c r="F30" s="8" t="s">
        <v>558</v>
      </c>
      <c r="G30" s="8">
        <v>10</v>
      </c>
      <c r="H30" s="8"/>
      <c r="I30" s="92">
        <v>8</v>
      </c>
      <c r="J30" s="7"/>
    </row>
    <row r="31" spans="1:10" x14ac:dyDescent="0.3">
      <c r="A31" s="7">
        <v>29</v>
      </c>
      <c r="B31" s="19" t="s">
        <v>100</v>
      </c>
      <c r="C31" s="5" t="s">
        <v>869</v>
      </c>
      <c r="D31" s="8" t="s">
        <v>169</v>
      </c>
      <c r="E31" s="8" t="s">
        <v>170</v>
      </c>
      <c r="F31" s="8" t="s">
        <v>558</v>
      </c>
      <c r="G31" s="8">
        <v>10</v>
      </c>
      <c r="H31" s="8"/>
      <c r="I31" s="92">
        <v>10</v>
      </c>
      <c r="J31" s="7"/>
    </row>
    <row r="32" spans="1:10" x14ac:dyDescent="0.3">
      <c r="A32" s="7">
        <v>30</v>
      </c>
      <c r="B32" s="19" t="s">
        <v>100</v>
      </c>
      <c r="C32" s="5" t="s">
        <v>869</v>
      </c>
      <c r="D32" s="8" t="s">
        <v>176</v>
      </c>
      <c r="E32" s="8" t="s">
        <v>177</v>
      </c>
      <c r="F32" s="8"/>
      <c r="G32" s="8">
        <v>10</v>
      </c>
      <c r="H32" s="8"/>
      <c r="I32" s="92" t="s">
        <v>603</v>
      </c>
      <c r="J32" s="7"/>
    </row>
    <row r="33" spans="1:10" x14ac:dyDescent="0.3">
      <c r="A33" s="7">
        <v>31</v>
      </c>
      <c r="B33" s="19" t="s">
        <v>100</v>
      </c>
      <c r="C33" s="5" t="s">
        <v>869</v>
      </c>
      <c r="D33" s="8" t="s">
        <v>182</v>
      </c>
      <c r="E33" s="8" t="s">
        <v>183</v>
      </c>
      <c r="F33" s="8" t="s">
        <v>558</v>
      </c>
      <c r="G33" s="8">
        <v>10</v>
      </c>
      <c r="H33" s="8"/>
      <c r="I33" s="92">
        <v>10</v>
      </c>
      <c r="J33" s="7"/>
    </row>
    <row r="34" spans="1:10" x14ac:dyDescent="0.3">
      <c r="A34" s="7">
        <v>32</v>
      </c>
      <c r="B34" s="19" t="s">
        <v>100</v>
      </c>
      <c r="C34" s="8" t="s">
        <v>188</v>
      </c>
      <c r="D34" s="8" t="s">
        <v>189</v>
      </c>
      <c r="E34" s="8" t="s">
        <v>190</v>
      </c>
      <c r="F34" s="8" t="s">
        <v>558</v>
      </c>
      <c r="G34" s="8">
        <v>10</v>
      </c>
      <c r="H34" s="8"/>
      <c r="I34" s="92">
        <v>8</v>
      </c>
      <c r="J34" s="7"/>
    </row>
    <row r="35" spans="1:10" x14ac:dyDescent="0.3">
      <c r="A35" s="7">
        <v>33</v>
      </c>
      <c r="B35" s="19" t="s">
        <v>100</v>
      </c>
      <c r="C35" s="8" t="s">
        <v>188</v>
      </c>
      <c r="D35" s="8" t="s">
        <v>195</v>
      </c>
      <c r="E35" s="8" t="s">
        <v>196</v>
      </c>
      <c r="F35" s="8" t="s">
        <v>558</v>
      </c>
      <c r="G35" s="8">
        <v>10</v>
      </c>
      <c r="H35" s="8"/>
      <c r="I35" s="92">
        <v>8</v>
      </c>
      <c r="J35" s="7"/>
    </row>
    <row r="36" spans="1:10" x14ac:dyDescent="0.3">
      <c r="A36" s="7">
        <v>34</v>
      </c>
      <c r="B36" s="19" t="s">
        <v>100</v>
      </c>
      <c r="C36" s="8" t="s">
        <v>188</v>
      </c>
      <c r="D36" s="8" t="s">
        <v>202</v>
      </c>
      <c r="E36" s="8" t="s">
        <v>203</v>
      </c>
      <c r="F36" s="8"/>
      <c r="G36" s="8">
        <v>10</v>
      </c>
      <c r="H36" s="8"/>
      <c r="I36" s="92">
        <v>8</v>
      </c>
      <c r="J36" s="7"/>
    </row>
    <row r="37" spans="1:10" x14ac:dyDescent="0.3">
      <c r="A37" s="7">
        <v>35</v>
      </c>
      <c r="B37" s="19" t="s">
        <v>100</v>
      </c>
      <c r="C37" s="8" t="s">
        <v>188</v>
      </c>
      <c r="D37" s="8" t="s">
        <v>209</v>
      </c>
      <c r="E37" s="8" t="s">
        <v>210</v>
      </c>
      <c r="F37" s="8" t="s">
        <v>558</v>
      </c>
      <c r="G37" s="8">
        <v>10</v>
      </c>
      <c r="H37" s="8"/>
      <c r="I37" s="92" t="s">
        <v>604</v>
      </c>
      <c r="J37" s="7"/>
    </row>
    <row r="38" spans="1:10" x14ac:dyDescent="0.3">
      <c r="A38" s="7">
        <v>36</v>
      </c>
      <c r="B38" s="19" t="s">
        <v>100</v>
      </c>
      <c r="C38" s="8" t="s">
        <v>216</v>
      </c>
      <c r="D38" s="8" t="s">
        <v>217</v>
      </c>
      <c r="E38" s="8" t="s">
        <v>218</v>
      </c>
      <c r="F38" s="8"/>
      <c r="G38" s="8">
        <v>10</v>
      </c>
      <c r="H38" s="8"/>
      <c r="I38" s="92">
        <v>10</v>
      </c>
      <c r="J38" s="7"/>
    </row>
    <row r="39" spans="1:10" x14ac:dyDescent="0.3">
      <c r="A39" s="7">
        <v>37</v>
      </c>
      <c r="B39" s="19" t="s">
        <v>100</v>
      </c>
      <c r="C39" s="8" t="s">
        <v>216</v>
      </c>
      <c r="D39" s="8" t="s">
        <v>225</v>
      </c>
      <c r="E39" s="8" t="s">
        <v>559</v>
      </c>
      <c r="F39" s="8"/>
      <c r="G39" s="8">
        <v>10</v>
      </c>
      <c r="H39" s="8"/>
      <c r="I39" s="92">
        <v>10</v>
      </c>
      <c r="J39" s="7"/>
    </row>
    <row r="40" spans="1:10" x14ac:dyDescent="0.3">
      <c r="A40" s="7">
        <v>38</v>
      </c>
      <c r="B40" s="19" t="s">
        <v>100</v>
      </c>
      <c r="C40" s="8" t="s">
        <v>224</v>
      </c>
      <c r="D40" s="8" t="s">
        <v>232</v>
      </c>
      <c r="E40" s="8" t="s">
        <v>226</v>
      </c>
      <c r="F40" s="8" t="s">
        <v>558</v>
      </c>
      <c r="G40" s="8">
        <v>10</v>
      </c>
      <c r="H40" s="8"/>
      <c r="I40" s="92" t="s">
        <v>605</v>
      </c>
      <c r="J40" s="7"/>
    </row>
    <row r="41" spans="1:10" x14ac:dyDescent="0.3">
      <c r="A41" s="7">
        <v>39</v>
      </c>
      <c r="B41" s="19" t="s">
        <v>100</v>
      </c>
      <c r="C41" s="8" t="s">
        <v>231</v>
      </c>
      <c r="D41" s="8" t="s">
        <v>560</v>
      </c>
      <c r="E41" s="8" t="s">
        <v>233</v>
      </c>
      <c r="F41" s="8"/>
      <c r="G41" s="8">
        <v>10</v>
      </c>
      <c r="H41" s="55">
        <f>SUM(G17:G41)</f>
        <v>170</v>
      </c>
      <c r="I41" s="92">
        <v>16</v>
      </c>
      <c r="J41" s="7"/>
    </row>
    <row r="42" spans="1:10" x14ac:dyDescent="0.3">
      <c r="A42" s="7">
        <v>40</v>
      </c>
      <c r="B42" s="19" t="s">
        <v>239</v>
      </c>
      <c r="C42" s="8" t="s">
        <v>240</v>
      </c>
      <c r="D42" s="8" t="s">
        <v>241</v>
      </c>
      <c r="E42" s="8" t="s">
        <v>242</v>
      </c>
      <c r="F42" s="8"/>
      <c r="G42" s="8">
        <v>10</v>
      </c>
      <c r="H42" s="8"/>
      <c r="I42" s="92" t="s">
        <v>606</v>
      </c>
      <c r="J42" s="7"/>
    </row>
    <row r="43" spans="1:10" x14ac:dyDescent="0.3">
      <c r="A43" s="7">
        <v>41</v>
      </c>
      <c r="B43" s="19" t="s">
        <v>239</v>
      </c>
      <c r="C43" s="8" t="s">
        <v>240</v>
      </c>
      <c r="D43" s="8" t="s">
        <v>247</v>
      </c>
      <c r="E43" s="8" t="s">
        <v>248</v>
      </c>
      <c r="F43" s="8"/>
      <c r="G43" s="8">
        <v>10</v>
      </c>
      <c r="H43" s="8"/>
      <c r="I43" s="92" t="s">
        <v>606</v>
      </c>
      <c r="J43" s="7"/>
    </row>
    <row r="44" spans="1:10" x14ac:dyDescent="0.3">
      <c r="A44" s="7">
        <v>42</v>
      </c>
      <c r="B44" s="19" t="s">
        <v>239</v>
      </c>
      <c r="C44" s="8" t="s">
        <v>240</v>
      </c>
      <c r="D44" s="8" t="s">
        <v>254</v>
      </c>
      <c r="E44" s="8" t="s">
        <v>255</v>
      </c>
      <c r="F44" s="8"/>
      <c r="G44" s="8">
        <v>10</v>
      </c>
      <c r="H44" s="8"/>
      <c r="I44" s="92">
        <v>17</v>
      </c>
      <c r="J44" s="7"/>
    </row>
    <row r="45" spans="1:10" x14ac:dyDescent="0.3">
      <c r="A45" s="7">
        <v>43</v>
      </c>
      <c r="B45" s="19" t="s">
        <v>239</v>
      </c>
      <c r="C45" s="8" t="s">
        <v>240</v>
      </c>
      <c r="D45" s="8" t="s">
        <v>260</v>
      </c>
      <c r="E45" s="8" t="s">
        <v>261</v>
      </c>
      <c r="F45" s="8"/>
      <c r="G45" s="8">
        <v>10</v>
      </c>
      <c r="H45" s="8"/>
      <c r="I45" s="92">
        <v>17</v>
      </c>
      <c r="J45" s="7"/>
    </row>
    <row r="46" spans="1:10" x14ac:dyDescent="0.3">
      <c r="A46" s="7">
        <v>44</v>
      </c>
      <c r="B46" s="19" t="s">
        <v>239</v>
      </c>
      <c r="C46" s="8" t="s">
        <v>8</v>
      </c>
      <c r="D46" s="8" t="s">
        <v>267</v>
      </c>
      <c r="E46" s="8" t="s">
        <v>268</v>
      </c>
      <c r="F46" s="8"/>
      <c r="G46" s="8">
        <v>10</v>
      </c>
      <c r="H46" s="8"/>
      <c r="I46" s="92">
        <v>16</v>
      </c>
      <c r="J46" s="7"/>
    </row>
    <row r="47" spans="1:10" x14ac:dyDescent="0.3">
      <c r="A47" s="7">
        <v>45</v>
      </c>
      <c r="B47" s="19" t="s">
        <v>239</v>
      </c>
      <c r="C47" s="8" t="s">
        <v>8</v>
      </c>
      <c r="D47" s="8" t="s">
        <v>273</v>
      </c>
      <c r="E47" s="8" t="s">
        <v>274</v>
      </c>
      <c r="F47" s="8"/>
      <c r="G47" s="8">
        <v>10</v>
      </c>
      <c r="H47" s="8"/>
      <c r="I47" s="92" t="s">
        <v>607</v>
      </c>
      <c r="J47" s="7"/>
    </row>
    <row r="48" spans="1:10" x14ac:dyDescent="0.3">
      <c r="A48" s="7">
        <v>46</v>
      </c>
      <c r="B48" s="19" t="s">
        <v>239</v>
      </c>
      <c r="C48" s="8" t="s">
        <v>8</v>
      </c>
      <c r="D48" s="8" t="s">
        <v>279</v>
      </c>
      <c r="E48" s="8" t="s">
        <v>280</v>
      </c>
      <c r="F48" s="8"/>
      <c r="G48" s="8">
        <v>10</v>
      </c>
      <c r="H48" s="8"/>
      <c r="I48" s="92">
        <v>16</v>
      </c>
      <c r="J48" s="7"/>
    </row>
    <row r="49" spans="1:10" x14ac:dyDescent="0.3">
      <c r="A49" s="7">
        <v>47</v>
      </c>
      <c r="B49" s="19" t="s">
        <v>239</v>
      </c>
      <c r="C49" s="8" t="s">
        <v>8</v>
      </c>
      <c r="D49" s="8" t="s">
        <v>285</v>
      </c>
      <c r="E49" s="8" t="s">
        <v>286</v>
      </c>
      <c r="F49" s="8" t="s">
        <v>558</v>
      </c>
      <c r="G49" s="8">
        <v>10</v>
      </c>
      <c r="H49" s="8"/>
      <c r="I49" s="92">
        <v>16</v>
      </c>
      <c r="J49" s="7"/>
    </row>
    <row r="50" spans="1:10" x14ac:dyDescent="0.3">
      <c r="A50" s="7">
        <v>48</v>
      </c>
      <c r="B50" s="19" t="s">
        <v>239</v>
      </c>
      <c r="C50" s="8" t="s">
        <v>292</v>
      </c>
      <c r="D50" s="8" t="s">
        <v>293</v>
      </c>
      <c r="E50" s="8" t="s">
        <v>294</v>
      </c>
      <c r="F50" s="8"/>
      <c r="G50" s="8">
        <v>10</v>
      </c>
      <c r="H50" s="8"/>
      <c r="I50" s="92">
        <v>17</v>
      </c>
      <c r="J50" s="7"/>
    </row>
    <row r="51" spans="1:10" x14ac:dyDescent="0.3">
      <c r="A51" s="7">
        <v>49</v>
      </c>
      <c r="B51" s="19" t="s">
        <v>239</v>
      </c>
      <c r="C51" s="8" t="s">
        <v>292</v>
      </c>
      <c r="D51" s="8" t="s">
        <v>298</v>
      </c>
      <c r="E51" s="8" t="s">
        <v>299</v>
      </c>
      <c r="F51" s="8"/>
      <c r="G51" s="8">
        <v>10</v>
      </c>
      <c r="H51" s="8"/>
      <c r="I51" s="92">
        <v>17</v>
      </c>
      <c r="J51" s="7"/>
    </row>
    <row r="52" spans="1:10" x14ac:dyDescent="0.3">
      <c r="A52" s="7">
        <v>50</v>
      </c>
      <c r="B52" s="19" t="s">
        <v>239</v>
      </c>
      <c r="C52" s="8" t="s">
        <v>292</v>
      </c>
      <c r="D52" s="8" t="s">
        <v>303</v>
      </c>
      <c r="E52" s="8" t="s">
        <v>304</v>
      </c>
      <c r="F52" s="8"/>
      <c r="G52" s="8">
        <v>10</v>
      </c>
      <c r="H52" s="8"/>
      <c r="I52" s="92" t="s">
        <v>608</v>
      </c>
      <c r="J52" s="7"/>
    </row>
    <row r="53" spans="1:10" x14ac:dyDescent="0.3">
      <c r="A53" s="7">
        <v>51</v>
      </c>
      <c r="B53" s="19" t="s">
        <v>239</v>
      </c>
      <c r="C53" s="8" t="s">
        <v>309</v>
      </c>
      <c r="D53" s="8" t="s">
        <v>310</v>
      </c>
      <c r="E53" s="8" t="s">
        <v>311</v>
      </c>
      <c r="F53" s="8"/>
      <c r="G53" s="8">
        <v>10</v>
      </c>
      <c r="H53" s="8"/>
      <c r="I53" s="92" t="s">
        <v>607</v>
      </c>
      <c r="J53" s="7"/>
    </row>
    <row r="54" spans="1:10" x14ac:dyDescent="0.3">
      <c r="A54" s="7">
        <v>52</v>
      </c>
      <c r="B54" s="19" t="s">
        <v>239</v>
      </c>
      <c r="C54" s="8" t="s">
        <v>309</v>
      </c>
      <c r="D54" s="8" t="s">
        <v>317</v>
      </c>
      <c r="E54" s="8" t="s">
        <v>318</v>
      </c>
      <c r="F54" s="8"/>
      <c r="G54" s="8">
        <v>10</v>
      </c>
      <c r="H54" s="8"/>
      <c r="I54" s="92">
        <v>16</v>
      </c>
      <c r="J54" s="7"/>
    </row>
    <row r="55" spans="1:10" x14ac:dyDescent="0.3">
      <c r="A55" s="7">
        <v>53</v>
      </c>
      <c r="B55" s="19" t="s">
        <v>239</v>
      </c>
      <c r="C55" s="8" t="s">
        <v>324</v>
      </c>
      <c r="D55" s="8" t="s">
        <v>325</v>
      </c>
      <c r="E55" s="8" t="s">
        <v>326</v>
      </c>
      <c r="F55" s="8"/>
      <c r="G55" s="8">
        <v>10</v>
      </c>
      <c r="H55" s="8"/>
      <c r="I55" s="92" t="s">
        <v>607</v>
      </c>
      <c r="J55" s="7"/>
    </row>
    <row r="56" spans="1:10" x14ac:dyDescent="0.3">
      <c r="A56" s="7">
        <v>54</v>
      </c>
      <c r="B56" s="19" t="s">
        <v>239</v>
      </c>
      <c r="C56" s="8" t="s">
        <v>324</v>
      </c>
      <c r="D56" s="8" t="s">
        <v>332</v>
      </c>
      <c r="E56" s="8" t="s">
        <v>333</v>
      </c>
      <c r="F56" s="8"/>
      <c r="G56" s="8">
        <v>10</v>
      </c>
      <c r="H56" s="8"/>
      <c r="I56" s="92" t="s">
        <v>607</v>
      </c>
      <c r="J56" s="7"/>
    </row>
    <row r="57" spans="1:10" x14ac:dyDescent="0.3">
      <c r="A57" s="7">
        <v>55</v>
      </c>
      <c r="B57" s="19" t="s">
        <v>239</v>
      </c>
      <c r="C57" s="8" t="s">
        <v>338</v>
      </c>
      <c r="D57" s="8" t="s">
        <v>339</v>
      </c>
      <c r="E57" s="8" t="s">
        <v>340</v>
      </c>
      <c r="F57" s="8"/>
      <c r="G57" s="8">
        <v>10</v>
      </c>
      <c r="H57" s="8"/>
      <c r="I57" s="92" t="s">
        <v>609</v>
      </c>
      <c r="J57" s="7"/>
    </row>
    <row r="58" spans="1:10" x14ac:dyDescent="0.3">
      <c r="A58" s="7">
        <v>56</v>
      </c>
      <c r="B58" s="19" t="s">
        <v>239</v>
      </c>
      <c r="C58" s="8" t="s">
        <v>344</v>
      </c>
      <c r="D58" s="8" t="s">
        <v>345</v>
      </c>
      <c r="E58" s="8" t="s">
        <v>346</v>
      </c>
      <c r="F58" s="8"/>
      <c r="G58" s="8">
        <v>10</v>
      </c>
      <c r="H58" s="8"/>
      <c r="I58" s="92">
        <v>16</v>
      </c>
      <c r="J58" s="7"/>
    </row>
    <row r="59" spans="1:10" x14ac:dyDescent="0.3">
      <c r="A59" s="7">
        <v>57</v>
      </c>
      <c r="B59" s="19" t="s">
        <v>239</v>
      </c>
      <c r="C59" s="8" t="s">
        <v>344</v>
      </c>
      <c r="D59" s="8" t="s">
        <v>351</v>
      </c>
      <c r="E59" s="8" t="s">
        <v>352</v>
      </c>
      <c r="F59" s="8"/>
      <c r="G59" s="8">
        <v>10</v>
      </c>
      <c r="H59" s="8"/>
      <c r="I59" s="92">
        <v>16</v>
      </c>
      <c r="J59" s="7"/>
    </row>
    <row r="60" spans="1:10" x14ac:dyDescent="0.3">
      <c r="A60" s="7">
        <v>58</v>
      </c>
      <c r="B60" s="19" t="s">
        <v>239</v>
      </c>
      <c r="C60" s="8" t="s">
        <v>357</v>
      </c>
      <c r="D60" s="8" t="s">
        <v>358</v>
      </c>
      <c r="E60" s="8" t="s">
        <v>359</v>
      </c>
      <c r="F60" s="8"/>
      <c r="G60" s="8">
        <v>10</v>
      </c>
      <c r="H60" s="8"/>
      <c r="I60" s="92">
        <v>9</v>
      </c>
      <c r="J60" s="7"/>
    </row>
    <row r="61" spans="1:10" x14ac:dyDescent="0.3">
      <c r="A61" s="7">
        <v>59</v>
      </c>
      <c r="B61" s="19" t="s">
        <v>239</v>
      </c>
      <c r="C61" s="8" t="s">
        <v>357</v>
      </c>
      <c r="D61" s="8" t="s">
        <v>365</v>
      </c>
      <c r="E61" s="8" t="s">
        <v>366</v>
      </c>
      <c r="F61" s="8"/>
      <c r="G61" s="8">
        <v>10</v>
      </c>
      <c r="H61" s="55">
        <f>SUM(G42:G61)</f>
        <v>200</v>
      </c>
      <c r="I61" s="92">
        <v>9</v>
      </c>
      <c r="J61" s="7"/>
    </row>
  </sheetData>
  <pageMargins left="0.511811024" right="0.511811024" top="0.78740157499999996" bottom="0.78740157499999996" header="0.31496062000000002" footer="0.31496062000000002"/>
  <pageSetup paperSize="9" scale="86"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3B2E-F2D2-43D3-A9DD-8F0DF9DE8283}">
  <dimension ref="A1:I12"/>
  <sheetViews>
    <sheetView workbookViewId="0">
      <selection activeCell="B3" sqref="B3:I12"/>
    </sheetView>
  </sheetViews>
  <sheetFormatPr defaultRowHeight="14.4" x14ac:dyDescent="0.3"/>
  <cols>
    <col min="1" max="1" width="3" bestFit="1" customWidth="1"/>
    <col min="2" max="2" width="28.88671875" customWidth="1"/>
    <col min="3" max="3" width="32.44140625" customWidth="1"/>
    <col min="4" max="4" width="9.88671875" bestFit="1" customWidth="1"/>
    <col min="5" max="5" width="41.109375" customWidth="1"/>
    <col min="6" max="6" width="13" bestFit="1" customWidth="1"/>
    <col min="7" max="7" width="10.21875" bestFit="1" customWidth="1"/>
    <col min="8" max="8" width="10.109375" bestFit="1" customWidth="1"/>
    <col min="9" max="9" width="8.88671875" style="109"/>
  </cols>
  <sheetData>
    <row r="1" spans="1:9" x14ac:dyDescent="0.3">
      <c r="B1" t="s">
        <v>561</v>
      </c>
    </row>
    <row r="2" spans="1:9" x14ac:dyDescent="0.3">
      <c r="A2" s="21" t="s">
        <v>507</v>
      </c>
      <c r="B2" s="25" t="s">
        <v>0</v>
      </c>
      <c r="C2" s="25" t="s">
        <v>1</v>
      </c>
      <c r="D2" s="25" t="s">
        <v>2</v>
      </c>
      <c r="E2" s="26" t="s">
        <v>3</v>
      </c>
      <c r="F2" s="25" t="s">
        <v>562</v>
      </c>
      <c r="G2" s="25" t="s">
        <v>587</v>
      </c>
      <c r="H2" s="25" t="s">
        <v>567</v>
      </c>
      <c r="I2" s="113" t="s">
        <v>513</v>
      </c>
    </row>
    <row r="3" spans="1:9" x14ac:dyDescent="0.3">
      <c r="A3" s="21">
        <v>1</v>
      </c>
      <c r="B3" s="27" t="s">
        <v>7</v>
      </c>
      <c r="C3" s="14" t="s">
        <v>393</v>
      </c>
      <c r="D3" s="14" t="s">
        <v>373</v>
      </c>
      <c r="E3" s="14" t="s">
        <v>395</v>
      </c>
      <c r="F3" s="45"/>
      <c r="G3" s="45">
        <v>10</v>
      </c>
      <c r="H3" s="45"/>
      <c r="I3" s="110">
        <v>6</v>
      </c>
    </row>
    <row r="4" spans="1:9" x14ac:dyDescent="0.3">
      <c r="A4" s="21">
        <v>2</v>
      </c>
      <c r="B4" s="28" t="s">
        <v>7</v>
      </c>
      <c r="C4" s="13" t="s">
        <v>377</v>
      </c>
      <c r="D4" s="13" t="s">
        <v>375</v>
      </c>
      <c r="E4" s="13" t="s">
        <v>381</v>
      </c>
      <c r="F4" s="12"/>
      <c r="G4" s="12">
        <v>10</v>
      </c>
      <c r="H4" s="12"/>
      <c r="I4" s="111">
        <v>15</v>
      </c>
    </row>
    <row r="5" spans="1:9" x14ac:dyDescent="0.3">
      <c r="A5" s="21">
        <v>3</v>
      </c>
      <c r="B5" s="27" t="s">
        <v>7</v>
      </c>
      <c r="C5" s="14" t="s">
        <v>377</v>
      </c>
      <c r="D5" s="14" t="s">
        <v>378</v>
      </c>
      <c r="E5" s="14" t="s">
        <v>383</v>
      </c>
      <c r="F5" s="12" t="s">
        <v>558</v>
      </c>
      <c r="G5" s="12">
        <v>10</v>
      </c>
      <c r="H5" s="12"/>
      <c r="I5" s="111">
        <v>12</v>
      </c>
    </row>
    <row r="6" spans="1:9" x14ac:dyDescent="0.3">
      <c r="A6" s="21">
        <v>4</v>
      </c>
      <c r="B6" s="28" t="s">
        <v>7</v>
      </c>
      <c r="C6" s="13" t="s">
        <v>384</v>
      </c>
      <c r="D6" s="13" t="s">
        <v>380</v>
      </c>
      <c r="E6" s="13" t="s">
        <v>385</v>
      </c>
      <c r="F6" s="12"/>
      <c r="G6" s="12">
        <v>10</v>
      </c>
      <c r="H6" s="12"/>
      <c r="I6" s="111" t="s">
        <v>607</v>
      </c>
    </row>
    <row r="7" spans="1:9" x14ac:dyDescent="0.3">
      <c r="A7" s="21">
        <v>5</v>
      </c>
      <c r="B7" s="27" t="s">
        <v>7</v>
      </c>
      <c r="C7" s="14" t="s">
        <v>387</v>
      </c>
      <c r="D7" s="14" t="s">
        <v>382</v>
      </c>
      <c r="E7" s="14" t="s">
        <v>388</v>
      </c>
      <c r="F7" s="12"/>
      <c r="G7" s="12">
        <v>10</v>
      </c>
      <c r="H7" s="12">
        <f>SUM(G3:G7)</f>
        <v>50</v>
      </c>
      <c r="I7" s="111">
        <v>9</v>
      </c>
    </row>
    <row r="8" spans="1:9" x14ac:dyDescent="0.3">
      <c r="A8" s="21">
        <v>6</v>
      </c>
      <c r="B8" s="28" t="s">
        <v>100</v>
      </c>
      <c r="C8" s="12" t="s">
        <v>399</v>
      </c>
      <c r="D8" s="12" t="s">
        <v>391</v>
      </c>
      <c r="E8" s="12" t="s">
        <v>401</v>
      </c>
      <c r="F8" s="12" t="s">
        <v>558</v>
      </c>
      <c r="G8" s="12">
        <v>10</v>
      </c>
      <c r="H8" s="12"/>
      <c r="I8" s="111" t="s">
        <v>607</v>
      </c>
    </row>
    <row r="9" spans="1:9" x14ac:dyDescent="0.3">
      <c r="A9" s="21">
        <v>7</v>
      </c>
      <c r="B9" s="27" t="s">
        <v>100</v>
      </c>
      <c r="C9" s="11" t="s">
        <v>399</v>
      </c>
      <c r="D9" s="11" t="s">
        <v>620</v>
      </c>
      <c r="E9" s="11" t="s">
        <v>403</v>
      </c>
      <c r="F9" s="12" t="s">
        <v>558</v>
      </c>
      <c r="G9" s="12">
        <v>0</v>
      </c>
      <c r="H9" s="12"/>
      <c r="I9" s="111" t="s">
        <v>607</v>
      </c>
    </row>
    <row r="10" spans="1:9" x14ac:dyDescent="0.3">
      <c r="A10" s="21">
        <v>8</v>
      </c>
      <c r="B10" s="28" t="s">
        <v>100</v>
      </c>
      <c r="C10" s="12" t="s">
        <v>404</v>
      </c>
      <c r="D10" s="12" t="s">
        <v>621</v>
      </c>
      <c r="E10" s="12" t="s">
        <v>406</v>
      </c>
      <c r="F10" s="12" t="s">
        <v>558</v>
      </c>
      <c r="G10" s="12">
        <v>0</v>
      </c>
      <c r="H10" s="12"/>
      <c r="I10" s="111" t="s">
        <v>607</v>
      </c>
    </row>
    <row r="11" spans="1:9" x14ac:dyDescent="0.3">
      <c r="A11" s="21">
        <v>9</v>
      </c>
      <c r="B11" s="27" t="s">
        <v>100</v>
      </c>
      <c r="C11" s="11" t="s">
        <v>404</v>
      </c>
      <c r="D11" s="11" t="s">
        <v>622</v>
      </c>
      <c r="E11" s="11" t="s">
        <v>408</v>
      </c>
      <c r="F11" s="12" t="s">
        <v>558</v>
      </c>
      <c r="G11" s="12">
        <v>10</v>
      </c>
      <c r="H11" s="12"/>
      <c r="I11" s="111" t="s">
        <v>870</v>
      </c>
    </row>
    <row r="12" spans="1:9" x14ac:dyDescent="0.3">
      <c r="A12" s="21">
        <v>10</v>
      </c>
      <c r="B12" s="29" t="s">
        <v>100</v>
      </c>
      <c r="C12" s="30" t="s">
        <v>404</v>
      </c>
      <c r="D12" s="30" t="s">
        <v>623</v>
      </c>
      <c r="E12" s="30" t="s">
        <v>409</v>
      </c>
      <c r="F12" s="30"/>
      <c r="G12" s="30">
        <v>10</v>
      </c>
      <c r="H12" s="30">
        <f>SUM(G8:G12)</f>
        <v>30</v>
      </c>
      <c r="I12" s="112" t="s">
        <v>607</v>
      </c>
    </row>
  </sheetData>
  <pageMargins left="0.511811024" right="0.511811024" top="0.78740157499999996" bottom="0.78740157499999996" header="0.31496062000000002" footer="0.31496062000000002"/>
  <pageSetup paperSize="9" orientation="landscape" r:id="rId1"/>
  <ignoredErrors>
    <ignoredError sqref="I6 I8:I9" twoDigitTextYear="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40AF6-A06E-4220-A915-243DDE76B28B}">
  <dimension ref="A1:I13"/>
  <sheetViews>
    <sheetView workbookViewId="0">
      <selection activeCell="B3" sqref="B3:I12"/>
    </sheetView>
  </sheetViews>
  <sheetFormatPr defaultRowHeight="14.4" x14ac:dyDescent="0.3"/>
  <cols>
    <col min="1" max="1" width="3" bestFit="1" customWidth="1"/>
    <col min="2" max="2" width="36" customWidth="1"/>
    <col min="3" max="3" width="31.44140625" customWidth="1"/>
    <col min="4" max="4" width="9.88671875" customWidth="1"/>
    <col min="5" max="5" width="43.88671875" customWidth="1"/>
    <col min="6" max="6" width="11.109375" customWidth="1"/>
  </cols>
  <sheetData>
    <row r="1" spans="1:9" x14ac:dyDescent="0.3">
      <c r="B1" t="s">
        <v>783</v>
      </c>
    </row>
    <row r="2" spans="1:9" x14ac:dyDescent="0.3">
      <c r="A2" s="21" t="s">
        <v>507</v>
      </c>
      <c r="B2" s="25" t="s">
        <v>0</v>
      </c>
      <c r="C2" s="25" t="s">
        <v>1</v>
      </c>
      <c r="D2" s="25" t="s">
        <v>2</v>
      </c>
      <c r="E2" s="26" t="s">
        <v>3</v>
      </c>
      <c r="F2" s="25" t="s">
        <v>572</v>
      </c>
      <c r="G2" s="25" t="s">
        <v>590</v>
      </c>
      <c r="H2" s="25" t="s">
        <v>567</v>
      </c>
      <c r="I2" s="25" t="s">
        <v>513</v>
      </c>
    </row>
    <row r="3" spans="1:9" x14ac:dyDescent="0.3">
      <c r="A3" s="21">
        <v>1</v>
      </c>
      <c r="B3" s="39" t="s">
        <v>7</v>
      </c>
      <c r="C3" s="37" t="s">
        <v>564</v>
      </c>
      <c r="D3" s="37" t="s">
        <v>394</v>
      </c>
      <c r="E3" s="37" t="s">
        <v>547</v>
      </c>
      <c r="F3" s="44"/>
      <c r="G3" s="44">
        <v>10</v>
      </c>
      <c r="H3" s="44"/>
      <c r="I3" s="44">
        <v>15</v>
      </c>
    </row>
    <row r="4" spans="1:9" x14ac:dyDescent="0.3">
      <c r="A4" s="21">
        <v>2</v>
      </c>
      <c r="B4" s="40" t="s">
        <v>7</v>
      </c>
      <c r="C4" s="38" t="s">
        <v>563</v>
      </c>
      <c r="D4" s="38" t="s">
        <v>396</v>
      </c>
      <c r="E4" s="38" t="s">
        <v>563</v>
      </c>
      <c r="F4" s="44"/>
      <c r="G4" s="44">
        <v>10</v>
      </c>
      <c r="H4" s="44"/>
      <c r="I4" s="44" t="s">
        <v>870</v>
      </c>
    </row>
    <row r="5" spans="1:9" ht="28.8" x14ac:dyDescent="0.3">
      <c r="A5" s="21">
        <v>3</v>
      </c>
      <c r="B5" s="39" t="s">
        <v>7</v>
      </c>
      <c r="C5" s="37" t="s">
        <v>460</v>
      </c>
      <c r="D5" s="37" t="s">
        <v>397</v>
      </c>
      <c r="E5" s="38" t="s">
        <v>494</v>
      </c>
      <c r="F5" s="44"/>
      <c r="G5" s="44">
        <v>10</v>
      </c>
      <c r="H5" s="44"/>
      <c r="I5" s="44" t="s">
        <v>871</v>
      </c>
    </row>
    <row r="6" spans="1:9" x14ac:dyDescent="0.3">
      <c r="A6" s="21">
        <v>4</v>
      </c>
      <c r="B6" s="40" t="s">
        <v>7</v>
      </c>
      <c r="C6" s="38" t="s">
        <v>565</v>
      </c>
      <c r="D6" s="38" t="s">
        <v>398</v>
      </c>
      <c r="E6" s="38" t="s">
        <v>566</v>
      </c>
      <c r="F6" s="44" t="s">
        <v>558</v>
      </c>
      <c r="G6" s="44">
        <v>10</v>
      </c>
      <c r="H6" s="44">
        <f>SUM(G3:G6)</f>
        <v>40</v>
      </c>
      <c r="I6" s="44">
        <v>12</v>
      </c>
    </row>
    <row r="7" spans="1:9" x14ac:dyDescent="0.3">
      <c r="A7" s="21">
        <v>5</v>
      </c>
      <c r="B7" s="40" t="s">
        <v>100</v>
      </c>
      <c r="C7" s="44" t="s">
        <v>472</v>
      </c>
      <c r="D7" s="37" t="s">
        <v>400</v>
      </c>
      <c r="E7" s="37" t="s">
        <v>552</v>
      </c>
      <c r="F7" s="44" t="s">
        <v>558</v>
      </c>
      <c r="G7" s="44">
        <v>10</v>
      </c>
      <c r="H7" s="44"/>
      <c r="I7" s="44" t="s">
        <v>602</v>
      </c>
    </row>
    <row r="8" spans="1:9" x14ac:dyDescent="0.3">
      <c r="A8" s="21">
        <v>6</v>
      </c>
      <c r="B8" s="40" t="s">
        <v>100</v>
      </c>
      <c r="C8" s="44" t="s">
        <v>472</v>
      </c>
      <c r="D8" s="38" t="s">
        <v>402</v>
      </c>
      <c r="E8" s="38" t="s">
        <v>553</v>
      </c>
      <c r="F8" s="44" t="s">
        <v>558</v>
      </c>
      <c r="G8" s="44">
        <v>10</v>
      </c>
      <c r="H8" s="44"/>
      <c r="I8" s="44">
        <v>8</v>
      </c>
    </row>
    <row r="9" spans="1:9" x14ac:dyDescent="0.3">
      <c r="A9" s="21">
        <v>7</v>
      </c>
      <c r="B9" s="39" t="s">
        <v>100</v>
      </c>
      <c r="C9" s="44" t="s">
        <v>472</v>
      </c>
      <c r="D9" s="37" t="s">
        <v>405</v>
      </c>
      <c r="E9" s="37" t="s">
        <v>554</v>
      </c>
      <c r="F9" s="44"/>
      <c r="G9" s="44">
        <v>10</v>
      </c>
      <c r="H9" s="44"/>
      <c r="I9" s="44">
        <v>8</v>
      </c>
    </row>
    <row r="10" spans="1:9" x14ac:dyDescent="0.3">
      <c r="A10" s="21">
        <v>8</v>
      </c>
      <c r="B10" s="40" t="s">
        <v>100</v>
      </c>
      <c r="C10" s="44" t="s">
        <v>472</v>
      </c>
      <c r="D10" s="38" t="s">
        <v>407</v>
      </c>
      <c r="E10" s="38" t="s">
        <v>555</v>
      </c>
      <c r="F10" s="44"/>
      <c r="G10" s="44">
        <v>10</v>
      </c>
      <c r="H10" s="44">
        <f>SUM(G7:G10)</f>
        <v>40</v>
      </c>
      <c r="I10" s="44">
        <v>8</v>
      </c>
    </row>
    <row r="11" spans="1:9" x14ac:dyDescent="0.3">
      <c r="A11" s="21">
        <v>9</v>
      </c>
      <c r="B11" s="39" t="s">
        <v>239</v>
      </c>
      <c r="C11" s="44" t="s">
        <v>504</v>
      </c>
      <c r="D11" s="37" t="s">
        <v>673</v>
      </c>
      <c r="E11" s="37" t="s">
        <v>556</v>
      </c>
      <c r="F11" s="44" t="s">
        <v>558</v>
      </c>
      <c r="G11" s="44">
        <v>10</v>
      </c>
      <c r="H11" s="44"/>
      <c r="I11" s="44">
        <v>12</v>
      </c>
    </row>
    <row r="12" spans="1:9" x14ac:dyDescent="0.3">
      <c r="A12" s="21">
        <v>10</v>
      </c>
      <c r="B12" s="41" t="s">
        <v>239</v>
      </c>
      <c r="C12" s="44" t="s">
        <v>504</v>
      </c>
      <c r="D12" s="43" t="s">
        <v>674</v>
      </c>
      <c r="E12" s="42" t="s">
        <v>557</v>
      </c>
      <c r="F12" s="44" t="s">
        <v>558</v>
      </c>
      <c r="G12" s="44">
        <v>10</v>
      </c>
      <c r="H12" s="44">
        <f>SUM(G11:G12)</f>
        <v>20</v>
      </c>
      <c r="I12" s="44">
        <v>16</v>
      </c>
    </row>
    <row r="13" spans="1:9" x14ac:dyDescent="0.3">
      <c r="H13" s="51"/>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462E-2B84-4CDB-8E4F-B78E67253A91}">
  <dimension ref="A1:I12"/>
  <sheetViews>
    <sheetView workbookViewId="0">
      <selection activeCell="B3" sqref="B3:I12"/>
    </sheetView>
  </sheetViews>
  <sheetFormatPr defaultRowHeight="14.4" x14ac:dyDescent="0.3"/>
  <cols>
    <col min="1" max="1" width="3" bestFit="1" customWidth="1"/>
    <col min="2" max="2" width="29.6640625" customWidth="1"/>
    <col min="3" max="3" width="35.5546875" customWidth="1"/>
    <col min="4" max="4" width="26.109375" customWidth="1"/>
    <col min="5" max="5" width="40.6640625" customWidth="1"/>
    <col min="6" max="6" width="12.77734375" bestFit="1" customWidth="1"/>
  </cols>
  <sheetData>
    <row r="1" spans="1:9" x14ac:dyDescent="0.3">
      <c r="B1" t="s">
        <v>784</v>
      </c>
    </row>
    <row r="2" spans="1:9" x14ac:dyDescent="0.3">
      <c r="A2" s="21" t="s">
        <v>507</v>
      </c>
      <c r="B2" s="25" t="s">
        <v>0</v>
      </c>
      <c r="C2" s="25" t="s">
        <v>1</v>
      </c>
      <c r="D2" s="25" t="s">
        <v>2</v>
      </c>
      <c r="E2" s="26" t="s">
        <v>3</v>
      </c>
      <c r="F2" s="25" t="s">
        <v>568</v>
      </c>
      <c r="G2" s="25" t="s">
        <v>567</v>
      </c>
      <c r="H2" s="25" t="s">
        <v>589</v>
      </c>
      <c r="I2" s="25" t="s">
        <v>513</v>
      </c>
    </row>
    <row r="3" spans="1:9" x14ac:dyDescent="0.3">
      <c r="A3" s="21">
        <v>1</v>
      </c>
      <c r="B3" s="27" t="s">
        <v>7</v>
      </c>
      <c r="C3" s="15" t="s">
        <v>410</v>
      </c>
      <c r="D3" s="15" t="s">
        <v>411</v>
      </c>
      <c r="E3" s="16" t="s">
        <v>412</v>
      </c>
      <c r="F3" s="46" t="s">
        <v>558</v>
      </c>
      <c r="G3" s="46">
        <v>10</v>
      </c>
      <c r="H3" s="46"/>
      <c r="I3" s="46">
        <v>12</v>
      </c>
    </row>
    <row r="4" spans="1:9" x14ac:dyDescent="0.3">
      <c r="A4" s="21">
        <v>2</v>
      </c>
      <c r="B4" s="28" t="s">
        <v>7</v>
      </c>
      <c r="C4" s="13" t="s">
        <v>410</v>
      </c>
      <c r="D4" s="13" t="s">
        <v>413</v>
      </c>
      <c r="E4" s="13" t="s">
        <v>414</v>
      </c>
      <c r="F4" s="13"/>
      <c r="G4" s="13">
        <v>10</v>
      </c>
      <c r="H4" s="13"/>
      <c r="I4" s="13">
        <v>12</v>
      </c>
    </row>
    <row r="5" spans="1:9" x14ac:dyDescent="0.3">
      <c r="A5" s="21">
        <v>3</v>
      </c>
      <c r="B5" s="27" t="s">
        <v>7</v>
      </c>
      <c r="C5" s="14" t="s">
        <v>415</v>
      </c>
      <c r="D5" s="14" t="s">
        <v>416</v>
      </c>
      <c r="E5" s="14" t="s">
        <v>417</v>
      </c>
      <c r="F5" s="13" t="s">
        <v>558</v>
      </c>
      <c r="G5" s="13">
        <v>10</v>
      </c>
      <c r="H5" s="13"/>
      <c r="I5" s="13">
        <v>15</v>
      </c>
    </row>
    <row r="6" spans="1:9" x14ac:dyDescent="0.3">
      <c r="A6" s="21">
        <v>4</v>
      </c>
      <c r="B6" s="28" t="s">
        <v>7</v>
      </c>
      <c r="C6" s="13" t="s">
        <v>418</v>
      </c>
      <c r="D6" s="13" t="s">
        <v>419</v>
      </c>
      <c r="E6" s="13" t="s">
        <v>420</v>
      </c>
      <c r="F6" s="13"/>
      <c r="G6" s="13">
        <v>10</v>
      </c>
      <c r="H6" s="13"/>
      <c r="I6" s="13">
        <v>11</v>
      </c>
    </row>
    <row r="7" spans="1:9" x14ac:dyDescent="0.3">
      <c r="A7" s="21">
        <v>5</v>
      </c>
      <c r="B7" s="27" t="s">
        <v>7</v>
      </c>
      <c r="C7" s="14" t="s">
        <v>421</v>
      </c>
      <c r="D7" s="14" t="s">
        <v>422</v>
      </c>
      <c r="E7" s="14" t="s">
        <v>569</v>
      </c>
      <c r="F7" s="13"/>
      <c r="G7" s="13">
        <v>10</v>
      </c>
      <c r="H7" s="13">
        <f>SUM(G3:G7)</f>
        <v>50</v>
      </c>
      <c r="I7" s="13">
        <v>11</v>
      </c>
    </row>
    <row r="8" spans="1:9" x14ac:dyDescent="0.3">
      <c r="A8" s="21">
        <v>6</v>
      </c>
      <c r="B8" s="28" t="s">
        <v>100</v>
      </c>
      <c r="C8" s="13" t="s">
        <v>423</v>
      </c>
      <c r="D8" s="13" t="s">
        <v>424</v>
      </c>
      <c r="E8" s="13" t="s">
        <v>425</v>
      </c>
      <c r="F8" s="13"/>
      <c r="G8" s="13">
        <v>10</v>
      </c>
      <c r="H8" s="13"/>
      <c r="I8" s="13">
        <v>11</v>
      </c>
    </row>
    <row r="9" spans="1:9" x14ac:dyDescent="0.3">
      <c r="A9" s="21">
        <v>7</v>
      </c>
      <c r="B9" s="27" t="s">
        <v>100</v>
      </c>
      <c r="C9" s="14" t="s">
        <v>426</v>
      </c>
      <c r="D9" s="14" t="s">
        <v>427</v>
      </c>
      <c r="E9" s="14" t="s">
        <v>428</v>
      </c>
      <c r="F9" s="13"/>
      <c r="G9" s="13">
        <v>10</v>
      </c>
      <c r="H9" s="13"/>
      <c r="I9" s="13">
        <v>11</v>
      </c>
    </row>
    <row r="10" spans="1:9" x14ac:dyDescent="0.3">
      <c r="A10" s="21">
        <v>8</v>
      </c>
      <c r="B10" s="28" t="s">
        <v>100</v>
      </c>
      <c r="C10" s="13" t="s">
        <v>429</v>
      </c>
      <c r="D10" s="13" t="s">
        <v>430</v>
      </c>
      <c r="E10" s="13" t="s">
        <v>431</v>
      </c>
      <c r="F10" s="13" t="s">
        <v>558</v>
      </c>
      <c r="G10" s="13">
        <v>10</v>
      </c>
      <c r="H10" s="13">
        <f>SUM(G8:G10)</f>
        <v>30</v>
      </c>
      <c r="I10" s="13">
        <v>8</v>
      </c>
    </row>
    <row r="11" spans="1:9" x14ac:dyDescent="0.3">
      <c r="A11" s="21">
        <v>9</v>
      </c>
      <c r="B11" s="27" t="s">
        <v>239</v>
      </c>
      <c r="C11" s="14" t="s">
        <v>432</v>
      </c>
      <c r="D11" s="14" t="s">
        <v>433</v>
      </c>
      <c r="E11" s="14" t="s">
        <v>434</v>
      </c>
      <c r="F11" s="13"/>
      <c r="G11" s="13">
        <v>10</v>
      </c>
      <c r="H11" s="13"/>
      <c r="I11" s="13">
        <v>11</v>
      </c>
    </row>
    <row r="12" spans="1:9" ht="26.4" x14ac:dyDescent="0.3">
      <c r="A12" s="21">
        <v>10</v>
      </c>
      <c r="B12" s="29" t="s">
        <v>239</v>
      </c>
      <c r="C12" s="31" t="s">
        <v>435</v>
      </c>
      <c r="D12" s="31" t="s">
        <v>436</v>
      </c>
      <c r="E12" s="31" t="s">
        <v>437</v>
      </c>
      <c r="F12" s="31"/>
      <c r="G12" s="31">
        <v>10</v>
      </c>
      <c r="H12" s="31">
        <f>SUM(G11:G12)</f>
        <v>20</v>
      </c>
      <c r="I12" s="31">
        <v>11</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2F4F-05D0-466D-9A81-04D867C5C1DD}">
  <dimension ref="A1:I12"/>
  <sheetViews>
    <sheetView workbookViewId="0">
      <selection activeCell="B3" sqref="B3:I12"/>
    </sheetView>
  </sheetViews>
  <sheetFormatPr defaultRowHeight="14.4" x14ac:dyDescent="0.3"/>
  <cols>
    <col min="1" max="1" width="3" bestFit="1" customWidth="1"/>
    <col min="2" max="2" width="27.33203125" bestFit="1" customWidth="1"/>
    <col min="3" max="3" width="37.109375" customWidth="1"/>
    <col min="4" max="4" width="12.6640625" customWidth="1"/>
    <col min="5" max="5" width="45.109375" customWidth="1"/>
    <col min="6" max="6" width="12.5546875" customWidth="1"/>
  </cols>
  <sheetData>
    <row r="1" spans="1:9" x14ac:dyDescent="0.3">
      <c r="B1" t="s">
        <v>785</v>
      </c>
    </row>
    <row r="2" spans="1:9" x14ac:dyDescent="0.3">
      <c r="A2" s="21" t="s">
        <v>507</v>
      </c>
      <c r="B2" s="25" t="s">
        <v>0</v>
      </c>
      <c r="C2" s="25" t="s">
        <v>1</v>
      </c>
      <c r="D2" s="25" t="s">
        <v>2</v>
      </c>
      <c r="E2" s="26" t="s">
        <v>3</v>
      </c>
      <c r="F2" s="25" t="s">
        <v>568</v>
      </c>
      <c r="G2" s="25" t="s">
        <v>567</v>
      </c>
      <c r="H2" s="25" t="s">
        <v>589</v>
      </c>
      <c r="I2" s="25" t="s">
        <v>513</v>
      </c>
    </row>
    <row r="3" spans="1:9" x14ac:dyDescent="0.3">
      <c r="A3" s="21">
        <v>1</v>
      </c>
      <c r="B3" s="39" t="s">
        <v>7</v>
      </c>
      <c r="C3" s="37" t="s">
        <v>438</v>
      </c>
      <c r="D3" s="37" t="s">
        <v>439</v>
      </c>
      <c r="E3" s="37" t="s">
        <v>440</v>
      </c>
      <c r="F3" s="47"/>
      <c r="G3" s="47">
        <v>10</v>
      </c>
      <c r="H3" s="47"/>
      <c r="I3" s="47">
        <v>7</v>
      </c>
    </row>
    <row r="4" spans="1:9" ht="28.8" x14ac:dyDescent="0.3">
      <c r="A4" s="21">
        <v>2</v>
      </c>
      <c r="B4" s="40" t="s">
        <v>7</v>
      </c>
      <c r="C4" s="38" t="s">
        <v>438</v>
      </c>
      <c r="D4" s="38" t="s">
        <v>441</v>
      </c>
      <c r="E4" s="38" t="s">
        <v>442</v>
      </c>
      <c r="F4" s="38"/>
      <c r="G4" s="38">
        <v>10</v>
      </c>
      <c r="H4" s="38"/>
      <c r="I4" s="38">
        <v>13</v>
      </c>
    </row>
    <row r="5" spans="1:9" x14ac:dyDescent="0.3">
      <c r="A5" s="21">
        <v>3</v>
      </c>
      <c r="B5" s="39" t="s">
        <v>7</v>
      </c>
      <c r="C5" s="37" t="s">
        <v>443</v>
      </c>
      <c r="D5" s="37" t="s">
        <v>444</v>
      </c>
      <c r="E5" s="37" t="s">
        <v>381</v>
      </c>
      <c r="F5" s="38"/>
      <c r="G5" s="38">
        <v>10</v>
      </c>
      <c r="H5" s="38"/>
      <c r="I5" s="38">
        <v>15</v>
      </c>
    </row>
    <row r="6" spans="1:9" x14ac:dyDescent="0.3">
      <c r="A6" s="21">
        <v>4</v>
      </c>
      <c r="B6" s="40" t="s">
        <v>7</v>
      </c>
      <c r="C6" s="38" t="s">
        <v>443</v>
      </c>
      <c r="D6" s="38" t="s">
        <v>445</v>
      </c>
      <c r="E6" s="38" t="s">
        <v>446</v>
      </c>
      <c r="F6" s="38"/>
      <c r="G6" s="38">
        <v>10</v>
      </c>
      <c r="H6" s="38"/>
      <c r="I6" s="38">
        <v>12</v>
      </c>
    </row>
    <row r="7" spans="1:9" x14ac:dyDescent="0.3">
      <c r="A7" s="21">
        <v>5</v>
      </c>
      <c r="B7" s="39" t="s">
        <v>7</v>
      </c>
      <c r="C7" s="37" t="s">
        <v>443</v>
      </c>
      <c r="D7" s="37" t="s">
        <v>447</v>
      </c>
      <c r="E7" s="37" t="s">
        <v>448</v>
      </c>
      <c r="F7" s="38"/>
      <c r="G7" s="38">
        <v>10</v>
      </c>
      <c r="H7" s="38"/>
      <c r="I7" s="38">
        <v>12</v>
      </c>
    </row>
    <row r="8" spans="1:9" x14ac:dyDescent="0.3">
      <c r="A8" s="21">
        <v>6</v>
      </c>
      <c r="B8" s="40" t="s">
        <v>7</v>
      </c>
      <c r="C8" s="38" t="s">
        <v>449</v>
      </c>
      <c r="D8" s="38" t="s">
        <v>450</v>
      </c>
      <c r="E8" s="38" t="s">
        <v>385</v>
      </c>
      <c r="F8" s="38"/>
      <c r="G8" s="38">
        <v>10</v>
      </c>
      <c r="H8" s="38"/>
      <c r="I8" s="38">
        <v>15</v>
      </c>
    </row>
    <row r="9" spans="1:9" ht="28.8" x14ac:dyDescent="0.3">
      <c r="A9" s="21">
        <v>7</v>
      </c>
      <c r="B9" s="39" t="s">
        <v>7</v>
      </c>
      <c r="C9" s="37" t="s">
        <v>449</v>
      </c>
      <c r="D9" s="37" t="s">
        <v>451</v>
      </c>
      <c r="E9" s="37" t="s">
        <v>452</v>
      </c>
      <c r="F9" s="38" t="s">
        <v>558</v>
      </c>
      <c r="G9" s="38">
        <v>0</v>
      </c>
      <c r="H9" s="38">
        <f>SUM(G3:G9)</f>
        <v>60</v>
      </c>
      <c r="I9" s="38">
        <v>12</v>
      </c>
    </row>
    <row r="10" spans="1:9" ht="28.8" x14ac:dyDescent="0.3">
      <c r="A10" s="21">
        <v>8</v>
      </c>
      <c r="B10" s="40" t="s">
        <v>100</v>
      </c>
      <c r="C10" s="38" t="s">
        <v>453</v>
      </c>
      <c r="D10" s="38" t="s">
        <v>454</v>
      </c>
      <c r="E10" s="38" t="s">
        <v>455</v>
      </c>
      <c r="F10" s="38"/>
      <c r="G10" s="38">
        <v>10</v>
      </c>
      <c r="H10" s="38"/>
      <c r="I10" s="38">
        <v>12</v>
      </c>
    </row>
    <row r="11" spans="1:9" x14ac:dyDescent="0.3">
      <c r="A11" s="21">
        <v>9</v>
      </c>
      <c r="B11" s="39" t="s">
        <v>100</v>
      </c>
      <c r="C11" s="37" t="s">
        <v>570</v>
      </c>
      <c r="D11" s="37" t="s">
        <v>456</v>
      </c>
      <c r="E11" s="37" t="s">
        <v>571</v>
      </c>
      <c r="F11" s="38"/>
      <c r="G11" s="38">
        <v>10</v>
      </c>
      <c r="H11" s="38">
        <f>SUM(G10:G11)</f>
        <v>20</v>
      </c>
      <c r="I11" s="38">
        <v>16</v>
      </c>
    </row>
    <row r="12" spans="1:9" x14ac:dyDescent="0.3">
      <c r="A12" s="21">
        <v>10</v>
      </c>
      <c r="B12" s="41" t="s">
        <v>239</v>
      </c>
      <c r="C12" s="42" t="s">
        <v>457</v>
      </c>
      <c r="D12" s="42" t="s">
        <v>458</v>
      </c>
      <c r="E12" s="42" t="s">
        <v>459</v>
      </c>
      <c r="F12" s="42"/>
      <c r="G12" s="42">
        <v>10</v>
      </c>
      <c r="H12" s="42">
        <f>SUM(Tabela7[[#This Row],[Coluna1]])</f>
        <v>10</v>
      </c>
      <c r="I12" s="42">
        <v>9</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14FA-1E2F-4623-8437-4F698880DD4B}">
  <dimension ref="A1:I12"/>
  <sheetViews>
    <sheetView workbookViewId="0">
      <selection activeCell="B3" sqref="B3:I12"/>
    </sheetView>
  </sheetViews>
  <sheetFormatPr defaultRowHeight="14.4" x14ac:dyDescent="0.3"/>
  <cols>
    <col min="1" max="1" width="3" bestFit="1" customWidth="1"/>
    <col min="2" max="2" width="27.33203125" bestFit="1" customWidth="1"/>
    <col min="3" max="3" width="30" bestFit="1" customWidth="1"/>
    <col min="4" max="4" width="9.88671875" bestFit="1" customWidth="1"/>
    <col min="5" max="5" width="62.109375" customWidth="1"/>
    <col min="6" max="6" width="13.109375" customWidth="1"/>
    <col min="9" max="9" width="13" customWidth="1"/>
  </cols>
  <sheetData>
    <row r="1" spans="1:9" x14ac:dyDescent="0.3">
      <c r="B1" t="s">
        <v>786</v>
      </c>
    </row>
    <row r="2" spans="1:9" x14ac:dyDescent="0.3">
      <c r="A2" s="21" t="s">
        <v>507</v>
      </c>
      <c r="B2" s="25" t="s">
        <v>0</v>
      </c>
      <c r="C2" s="25" t="s">
        <v>1</v>
      </c>
      <c r="D2" s="25" t="s">
        <v>2</v>
      </c>
      <c r="E2" s="26" t="s">
        <v>3</v>
      </c>
      <c r="F2" s="25" t="s">
        <v>572</v>
      </c>
      <c r="G2" s="25" t="s">
        <v>567</v>
      </c>
      <c r="H2" s="25" t="s">
        <v>589</v>
      </c>
      <c r="I2" s="25" t="s">
        <v>513</v>
      </c>
    </row>
    <row r="3" spans="1:9" x14ac:dyDescent="0.3">
      <c r="A3" s="21">
        <v>1</v>
      </c>
      <c r="B3" s="39" t="s">
        <v>7</v>
      </c>
      <c r="C3" s="37" t="s">
        <v>460</v>
      </c>
      <c r="D3" s="37" t="s">
        <v>461</v>
      </c>
      <c r="E3" s="37" t="s">
        <v>462</v>
      </c>
      <c r="F3" s="47"/>
      <c r="G3" s="47">
        <v>10</v>
      </c>
      <c r="H3" s="47"/>
      <c r="I3" s="114">
        <v>13</v>
      </c>
    </row>
    <row r="4" spans="1:9" x14ac:dyDescent="0.3">
      <c r="A4" s="21">
        <v>2</v>
      </c>
      <c r="B4" s="40" t="s">
        <v>7</v>
      </c>
      <c r="C4" s="38" t="s">
        <v>460</v>
      </c>
      <c r="D4" s="38" t="s">
        <v>463</v>
      </c>
      <c r="E4" s="38" t="s">
        <v>464</v>
      </c>
      <c r="F4" s="38"/>
      <c r="G4" s="38">
        <v>10</v>
      </c>
      <c r="H4" s="38"/>
      <c r="I4" s="93" t="s">
        <v>872</v>
      </c>
    </row>
    <row r="5" spans="1:9" x14ac:dyDescent="0.3">
      <c r="A5" s="21">
        <v>3</v>
      </c>
      <c r="B5" s="39" t="s">
        <v>7</v>
      </c>
      <c r="C5" s="37" t="s">
        <v>415</v>
      </c>
      <c r="D5" s="37" t="s">
        <v>465</v>
      </c>
      <c r="E5" s="37" t="s">
        <v>466</v>
      </c>
      <c r="F5" s="38"/>
      <c r="G5" s="38">
        <v>10</v>
      </c>
      <c r="H5" s="38"/>
      <c r="I5" s="93">
        <v>15</v>
      </c>
    </row>
    <row r="6" spans="1:9" x14ac:dyDescent="0.3">
      <c r="A6" s="21">
        <v>4</v>
      </c>
      <c r="B6" s="40" t="s">
        <v>7</v>
      </c>
      <c r="C6" s="38" t="s">
        <v>415</v>
      </c>
      <c r="D6" s="38" t="s">
        <v>467</v>
      </c>
      <c r="E6" s="38" t="s">
        <v>468</v>
      </c>
      <c r="F6" s="38"/>
      <c r="G6" s="38">
        <v>10</v>
      </c>
      <c r="H6" s="38"/>
      <c r="I6" s="93">
        <v>15</v>
      </c>
    </row>
    <row r="7" spans="1:9" x14ac:dyDescent="0.3">
      <c r="A7" s="21">
        <v>5</v>
      </c>
      <c r="B7" s="39" t="s">
        <v>7</v>
      </c>
      <c r="C7" s="37" t="s">
        <v>469</v>
      </c>
      <c r="D7" s="37" t="s">
        <v>470</v>
      </c>
      <c r="E7" s="37" t="s">
        <v>471</v>
      </c>
      <c r="F7" s="38"/>
      <c r="G7" s="38">
        <v>10</v>
      </c>
      <c r="H7" s="38">
        <f>SUM(G3:G7)</f>
        <v>50</v>
      </c>
      <c r="I7" s="93">
        <v>12</v>
      </c>
    </row>
    <row r="8" spans="1:9" x14ac:dyDescent="0.3">
      <c r="A8" s="21">
        <v>6</v>
      </c>
      <c r="B8" s="40" t="s">
        <v>100</v>
      </c>
      <c r="C8" s="38" t="s">
        <v>472</v>
      </c>
      <c r="D8" s="38" t="s">
        <v>473</v>
      </c>
      <c r="E8" s="38" t="s">
        <v>474</v>
      </c>
      <c r="F8" s="38"/>
      <c r="G8" s="38">
        <v>10</v>
      </c>
      <c r="H8" s="38"/>
      <c r="I8" s="93" t="s">
        <v>873</v>
      </c>
    </row>
    <row r="9" spans="1:9" x14ac:dyDescent="0.3">
      <c r="A9" s="21">
        <v>7</v>
      </c>
      <c r="B9" s="39" t="s">
        <v>100</v>
      </c>
      <c r="C9" s="37" t="s">
        <v>475</v>
      </c>
      <c r="D9" s="37" t="s">
        <v>476</v>
      </c>
      <c r="E9" s="37" t="s">
        <v>477</v>
      </c>
      <c r="F9" s="38" t="s">
        <v>558</v>
      </c>
      <c r="G9" s="38">
        <v>10</v>
      </c>
      <c r="H9" s="38"/>
      <c r="I9" s="93" t="s">
        <v>874</v>
      </c>
    </row>
    <row r="10" spans="1:9" x14ac:dyDescent="0.3">
      <c r="A10" s="21">
        <v>8</v>
      </c>
      <c r="B10" s="40" t="s">
        <v>100</v>
      </c>
      <c r="C10" s="38" t="s">
        <v>423</v>
      </c>
      <c r="D10" s="38" t="s">
        <v>478</v>
      </c>
      <c r="E10" s="38" t="s">
        <v>479</v>
      </c>
      <c r="F10" s="38"/>
      <c r="G10" s="38">
        <v>10</v>
      </c>
      <c r="H10" s="38">
        <f>SUM(G8:G10)</f>
        <v>30</v>
      </c>
      <c r="I10" s="93" t="s">
        <v>875</v>
      </c>
    </row>
    <row r="11" spans="1:9" x14ac:dyDescent="0.3">
      <c r="A11" s="21">
        <v>9</v>
      </c>
      <c r="B11" s="39" t="s">
        <v>239</v>
      </c>
      <c r="C11" s="37" t="s">
        <v>480</v>
      </c>
      <c r="D11" s="37" t="s">
        <v>481</v>
      </c>
      <c r="E11" s="37" t="s">
        <v>482</v>
      </c>
      <c r="F11" s="38"/>
      <c r="G11" s="38">
        <v>10</v>
      </c>
      <c r="H11" s="38"/>
      <c r="I11" s="93">
        <v>12</v>
      </c>
    </row>
    <row r="12" spans="1:9" x14ac:dyDescent="0.3">
      <c r="A12" s="21">
        <v>10</v>
      </c>
      <c r="B12" s="41" t="s">
        <v>239</v>
      </c>
      <c r="C12" s="42" t="s">
        <v>483</v>
      </c>
      <c r="D12" s="42" t="s">
        <v>484</v>
      </c>
      <c r="E12" s="42" t="s">
        <v>485</v>
      </c>
      <c r="F12" s="42"/>
      <c r="G12" s="42">
        <v>10</v>
      </c>
      <c r="H12" s="42">
        <f>SUM(G11:G12)</f>
        <v>20</v>
      </c>
      <c r="I12" s="115">
        <v>12</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898D-5793-4677-88D3-C5B8FB482920}">
  <dimension ref="A1:I12"/>
  <sheetViews>
    <sheetView workbookViewId="0">
      <selection activeCell="B3" sqref="B3:I12"/>
    </sheetView>
  </sheetViews>
  <sheetFormatPr defaultRowHeight="14.4" x14ac:dyDescent="0.3"/>
  <cols>
    <col min="1" max="1" width="3" bestFit="1" customWidth="1"/>
    <col min="2" max="2" width="27.33203125" bestFit="1" customWidth="1"/>
    <col min="3" max="3" width="25.6640625" customWidth="1"/>
    <col min="4" max="4" width="18.44140625" customWidth="1"/>
    <col min="5" max="5" width="50" customWidth="1"/>
    <col min="6" max="6" width="13.44140625" customWidth="1"/>
    <col min="9" max="9" width="11.6640625" bestFit="1" customWidth="1"/>
  </cols>
  <sheetData>
    <row r="1" spans="1:9" x14ac:dyDescent="0.3">
      <c r="B1" t="s">
        <v>789</v>
      </c>
    </row>
    <row r="2" spans="1:9" x14ac:dyDescent="0.3">
      <c r="A2" s="21" t="s">
        <v>507</v>
      </c>
      <c r="B2" s="25" t="s">
        <v>0</v>
      </c>
      <c r="C2" s="25" t="s">
        <v>1</v>
      </c>
      <c r="D2" s="25" t="s">
        <v>2</v>
      </c>
      <c r="E2" s="26" t="s">
        <v>3</v>
      </c>
      <c r="F2" s="25" t="s">
        <v>568</v>
      </c>
      <c r="G2" s="25" t="s">
        <v>567</v>
      </c>
      <c r="H2" s="25" t="s">
        <v>589</v>
      </c>
      <c r="I2" s="25" t="s">
        <v>513</v>
      </c>
    </row>
    <row r="3" spans="1:9" x14ac:dyDescent="0.3">
      <c r="A3" s="21">
        <v>1</v>
      </c>
      <c r="B3" s="39" t="s">
        <v>7</v>
      </c>
      <c r="C3" s="37" t="s">
        <v>486</v>
      </c>
      <c r="D3" s="37" t="s">
        <v>487</v>
      </c>
      <c r="E3" s="37" t="s">
        <v>488</v>
      </c>
      <c r="F3" s="48"/>
      <c r="G3" s="48">
        <v>10</v>
      </c>
      <c r="H3" s="48"/>
      <c r="I3" s="116">
        <v>15</v>
      </c>
    </row>
    <row r="4" spans="1:9" x14ac:dyDescent="0.3">
      <c r="A4" s="21">
        <v>2</v>
      </c>
      <c r="B4" s="40" t="s">
        <v>7</v>
      </c>
      <c r="C4" s="38" t="s">
        <v>486</v>
      </c>
      <c r="D4" s="38" t="s">
        <v>489</v>
      </c>
      <c r="E4" s="38" t="s">
        <v>490</v>
      </c>
      <c r="F4" s="48"/>
      <c r="G4" s="48">
        <v>10</v>
      </c>
      <c r="H4" s="48"/>
      <c r="I4" s="116" t="s">
        <v>870</v>
      </c>
    </row>
    <row r="5" spans="1:9" x14ac:dyDescent="0.3">
      <c r="A5" s="21">
        <v>3</v>
      </c>
      <c r="B5" s="39" t="s">
        <v>7</v>
      </c>
      <c r="C5" s="37" t="s">
        <v>415</v>
      </c>
      <c r="D5" s="37" t="s">
        <v>491</v>
      </c>
      <c r="E5" s="37" t="s">
        <v>492</v>
      </c>
      <c r="F5" s="48"/>
      <c r="G5" s="48">
        <v>10</v>
      </c>
      <c r="H5" s="48"/>
      <c r="I5" s="116">
        <v>15</v>
      </c>
    </row>
    <row r="6" spans="1:9" ht="28.8" x14ac:dyDescent="0.3">
      <c r="A6" s="21">
        <v>4</v>
      </c>
      <c r="B6" s="40" t="s">
        <v>7</v>
      </c>
      <c r="C6" s="38" t="s">
        <v>460</v>
      </c>
      <c r="D6" s="38" t="s">
        <v>493</v>
      </c>
      <c r="E6" s="38" t="s">
        <v>494</v>
      </c>
      <c r="F6" s="48"/>
      <c r="G6" s="48">
        <v>10</v>
      </c>
      <c r="H6" s="48"/>
      <c r="I6" s="116" t="s">
        <v>871</v>
      </c>
    </row>
    <row r="7" spans="1:9" x14ac:dyDescent="0.3">
      <c r="A7" s="21">
        <v>5</v>
      </c>
      <c r="B7" s="39" t="s">
        <v>7</v>
      </c>
      <c r="C7" s="37" t="s">
        <v>460</v>
      </c>
      <c r="D7" s="37" t="s">
        <v>495</v>
      </c>
      <c r="E7" s="37" t="s">
        <v>496</v>
      </c>
      <c r="F7" s="48"/>
      <c r="G7" s="48">
        <v>10</v>
      </c>
      <c r="H7" s="48">
        <f>SUM(G3:G7)</f>
        <v>50</v>
      </c>
      <c r="I7" s="116" t="s">
        <v>872</v>
      </c>
    </row>
    <row r="8" spans="1:9" x14ac:dyDescent="0.3">
      <c r="A8" s="21">
        <v>6</v>
      </c>
      <c r="B8" s="40" t="s">
        <v>100</v>
      </c>
      <c r="C8" s="38" t="s">
        <v>472</v>
      </c>
      <c r="D8" s="38" t="s">
        <v>497</v>
      </c>
      <c r="E8" s="38" t="s">
        <v>474</v>
      </c>
      <c r="F8" s="48"/>
      <c r="G8" s="48">
        <v>10</v>
      </c>
      <c r="H8" s="48"/>
      <c r="I8" s="116" t="s">
        <v>873</v>
      </c>
    </row>
    <row r="9" spans="1:9" x14ac:dyDescent="0.3">
      <c r="A9" s="21">
        <v>7</v>
      </c>
      <c r="B9" s="39" t="s">
        <v>100</v>
      </c>
      <c r="C9" s="37" t="s">
        <v>472</v>
      </c>
      <c r="D9" s="37" t="s">
        <v>498</v>
      </c>
      <c r="E9" s="37" t="s">
        <v>499</v>
      </c>
      <c r="F9" s="48"/>
      <c r="G9" s="48">
        <v>10</v>
      </c>
      <c r="H9" s="48"/>
      <c r="I9" s="116" t="s">
        <v>607</v>
      </c>
    </row>
    <row r="10" spans="1:9" x14ac:dyDescent="0.3">
      <c r="A10" s="21">
        <v>8</v>
      </c>
      <c r="B10" s="40" t="s">
        <v>100</v>
      </c>
      <c r="C10" s="38" t="s">
        <v>472</v>
      </c>
      <c r="D10" s="38" t="s">
        <v>500</v>
      </c>
      <c r="E10" s="38" t="s">
        <v>479</v>
      </c>
      <c r="F10" s="48"/>
      <c r="G10" s="48">
        <v>10</v>
      </c>
      <c r="H10" s="48"/>
      <c r="I10" s="116" t="s">
        <v>875</v>
      </c>
    </row>
    <row r="11" spans="1:9" x14ac:dyDescent="0.3">
      <c r="A11" s="21">
        <v>9</v>
      </c>
      <c r="B11" s="39" t="s">
        <v>100</v>
      </c>
      <c r="C11" s="37" t="s">
        <v>501</v>
      </c>
      <c r="D11" s="37" t="s">
        <v>502</v>
      </c>
      <c r="E11" s="37" t="s">
        <v>503</v>
      </c>
      <c r="F11" s="48"/>
      <c r="G11" s="48">
        <v>10</v>
      </c>
      <c r="H11" s="48">
        <f>SUM(G8:G11)</f>
        <v>40</v>
      </c>
      <c r="I11" s="116" t="s">
        <v>870</v>
      </c>
    </row>
    <row r="12" spans="1:9" x14ac:dyDescent="0.3">
      <c r="A12" s="21">
        <v>10</v>
      </c>
      <c r="B12" s="41" t="s">
        <v>239</v>
      </c>
      <c r="C12" s="43" t="s">
        <v>504</v>
      </c>
      <c r="D12" s="43" t="s">
        <v>505</v>
      </c>
      <c r="E12" s="42" t="s">
        <v>506</v>
      </c>
      <c r="F12" s="48" t="s">
        <v>558</v>
      </c>
      <c r="G12" s="48">
        <v>10</v>
      </c>
      <c r="H12" s="48">
        <f>SUM(Tabela5[[#This Row],[Coluna1]])</f>
        <v>10</v>
      </c>
      <c r="I12" s="116">
        <v>16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31E2-8626-4F28-93D9-CAECCAA04FE0}">
  <dimension ref="A1:I12"/>
  <sheetViews>
    <sheetView workbookViewId="0">
      <selection activeCell="B3" sqref="B3:I12"/>
    </sheetView>
  </sheetViews>
  <sheetFormatPr defaultRowHeight="14.4" x14ac:dyDescent="0.3"/>
  <cols>
    <col min="1" max="1" width="3" bestFit="1" customWidth="1"/>
    <col min="2" max="2" width="27.33203125" bestFit="1" customWidth="1"/>
    <col min="3" max="3" width="30.33203125" customWidth="1"/>
    <col min="4" max="4" width="9.109375" customWidth="1"/>
    <col min="5" max="5" width="55.109375" customWidth="1"/>
    <col min="6" max="6" width="11.109375" bestFit="1" customWidth="1"/>
  </cols>
  <sheetData>
    <row r="1" spans="1:9" x14ac:dyDescent="0.3">
      <c r="B1" t="s">
        <v>787</v>
      </c>
    </row>
    <row r="2" spans="1:9" x14ac:dyDescent="0.3">
      <c r="A2" s="21" t="s">
        <v>507</v>
      </c>
      <c r="B2" s="25" t="s">
        <v>0</v>
      </c>
      <c r="C2" s="25" t="s">
        <v>1</v>
      </c>
      <c r="D2" s="25" t="s">
        <v>2</v>
      </c>
      <c r="E2" s="26" t="s">
        <v>3</v>
      </c>
      <c r="F2" s="50" t="s">
        <v>572</v>
      </c>
      <c r="G2" s="50" t="s">
        <v>567</v>
      </c>
      <c r="H2" s="50" t="s">
        <v>589</v>
      </c>
      <c r="I2" s="50" t="s">
        <v>513</v>
      </c>
    </row>
    <row r="3" spans="1:9" x14ac:dyDescent="0.3">
      <c r="A3" s="21">
        <v>1</v>
      </c>
      <c r="B3" s="39" t="s">
        <v>7</v>
      </c>
      <c r="C3" s="37" t="s">
        <v>486</v>
      </c>
      <c r="D3" s="37" t="s">
        <v>515</v>
      </c>
      <c r="E3" s="37" t="s">
        <v>573</v>
      </c>
      <c r="F3" s="49"/>
      <c r="G3" s="49">
        <v>10</v>
      </c>
      <c r="H3" s="49"/>
      <c r="I3" s="117">
        <v>15</v>
      </c>
    </row>
    <row r="4" spans="1:9" x14ac:dyDescent="0.3">
      <c r="A4" s="21">
        <v>2</v>
      </c>
      <c r="B4" s="40" t="s">
        <v>7</v>
      </c>
      <c r="C4" s="38" t="s">
        <v>486</v>
      </c>
      <c r="D4" s="38" t="s">
        <v>517</v>
      </c>
      <c r="E4" s="38" t="s">
        <v>574</v>
      </c>
      <c r="F4" s="49"/>
      <c r="G4" s="49">
        <v>10</v>
      </c>
      <c r="H4" s="49"/>
      <c r="I4" s="117">
        <v>15</v>
      </c>
    </row>
    <row r="5" spans="1:9" x14ac:dyDescent="0.3">
      <c r="A5" s="21">
        <v>3</v>
      </c>
      <c r="B5" s="39" t="s">
        <v>7</v>
      </c>
      <c r="C5" s="37" t="s">
        <v>415</v>
      </c>
      <c r="D5" s="37" t="s">
        <v>519</v>
      </c>
      <c r="E5" s="37" t="s">
        <v>492</v>
      </c>
      <c r="F5" s="49"/>
      <c r="G5" s="49">
        <v>10</v>
      </c>
      <c r="H5" s="49"/>
      <c r="I5" s="117">
        <v>15</v>
      </c>
    </row>
    <row r="6" spans="1:9" ht="28.8" x14ac:dyDescent="0.3">
      <c r="A6" s="21">
        <v>4</v>
      </c>
      <c r="B6" s="40" t="s">
        <v>7</v>
      </c>
      <c r="C6" s="38" t="s">
        <v>460</v>
      </c>
      <c r="D6" s="38" t="s">
        <v>520</v>
      </c>
      <c r="E6" s="38" t="s">
        <v>494</v>
      </c>
      <c r="F6" s="49"/>
      <c r="G6" s="49">
        <v>10</v>
      </c>
      <c r="H6" s="49"/>
      <c r="I6" s="117" t="s">
        <v>871</v>
      </c>
    </row>
    <row r="7" spans="1:9" x14ac:dyDescent="0.3">
      <c r="A7" s="21">
        <v>5</v>
      </c>
      <c r="B7" s="39" t="s">
        <v>7</v>
      </c>
      <c r="C7" s="37" t="s">
        <v>460</v>
      </c>
      <c r="D7" s="37" t="s">
        <v>521</v>
      </c>
      <c r="E7" s="37" t="s">
        <v>496</v>
      </c>
      <c r="F7" s="49"/>
      <c r="G7" s="49">
        <v>10</v>
      </c>
      <c r="H7" s="49"/>
      <c r="I7" s="117" t="s">
        <v>872</v>
      </c>
    </row>
    <row r="8" spans="1:9" x14ac:dyDescent="0.3">
      <c r="A8" s="21">
        <v>6</v>
      </c>
      <c r="B8" s="40" t="s">
        <v>7</v>
      </c>
      <c r="C8" s="38" t="s">
        <v>523</v>
      </c>
      <c r="D8" s="38" t="s">
        <v>522</v>
      </c>
      <c r="E8" s="38" t="s">
        <v>523</v>
      </c>
      <c r="F8" s="49"/>
      <c r="G8" s="49">
        <v>10</v>
      </c>
      <c r="H8" s="49">
        <f>SUM(G3:G8)</f>
        <v>60</v>
      </c>
      <c r="I8" s="117">
        <v>15</v>
      </c>
    </row>
    <row r="9" spans="1:9" x14ac:dyDescent="0.3">
      <c r="A9" s="21">
        <v>7</v>
      </c>
      <c r="B9" s="39" t="s">
        <v>100</v>
      </c>
      <c r="C9" s="37" t="s">
        <v>575</v>
      </c>
      <c r="D9" s="37" t="s">
        <v>524</v>
      </c>
      <c r="E9" s="37" t="s">
        <v>525</v>
      </c>
      <c r="F9" s="49"/>
      <c r="G9" s="49">
        <v>10</v>
      </c>
      <c r="H9" s="49"/>
      <c r="I9" s="117" t="s">
        <v>875</v>
      </c>
    </row>
    <row r="10" spans="1:9" x14ac:dyDescent="0.3">
      <c r="A10" s="21">
        <v>8</v>
      </c>
      <c r="B10" s="40" t="s">
        <v>100</v>
      </c>
      <c r="C10" s="38" t="s">
        <v>472</v>
      </c>
      <c r="D10" s="38" t="s">
        <v>526</v>
      </c>
      <c r="E10" s="38" t="s">
        <v>499</v>
      </c>
      <c r="F10" s="49"/>
      <c r="G10" s="49">
        <v>10</v>
      </c>
      <c r="H10" s="49"/>
      <c r="I10" s="117" t="s">
        <v>607</v>
      </c>
    </row>
    <row r="11" spans="1:9" x14ac:dyDescent="0.3">
      <c r="A11" s="21">
        <v>9</v>
      </c>
      <c r="B11" s="39" t="s">
        <v>100</v>
      </c>
      <c r="C11" s="37" t="s">
        <v>472</v>
      </c>
      <c r="D11" s="37" t="s">
        <v>527</v>
      </c>
      <c r="E11" s="37" t="s">
        <v>479</v>
      </c>
      <c r="F11" s="49"/>
      <c r="G11" s="49">
        <v>10</v>
      </c>
      <c r="H11" s="49">
        <f>SUM(G9:G11)</f>
        <v>30</v>
      </c>
      <c r="I11" s="117" t="s">
        <v>875</v>
      </c>
    </row>
    <row r="12" spans="1:9" x14ac:dyDescent="0.3">
      <c r="A12" s="21">
        <v>10</v>
      </c>
      <c r="B12" s="41" t="s">
        <v>239</v>
      </c>
      <c r="C12" s="43" t="s">
        <v>504</v>
      </c>
      <c r="D12" s="43" t="s">
        <v>528</v>
      </c>
      <c r="E12" s="42" t="s">
        <v>506</v>
      </c>
      <c r="F12" s="49" t="s">
        <v>558</v>
      </c>
      <c r="G12" s="49">
        <v>10</v>
      </c>
      <c r="H12" s="49"/>
      <c r="I12" s="117">
        <v>16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B123-A3D7-41A9-8F94-1B6835C63CA6}">
  <dimension ref="A1:I12"/>
  <sheetViews>
    <sheetView workbookViewId="0">
      <selection activeCell="B3" sqref="B3:I12"/>
    </sheetView>
  </sheetViews>
  <sheetFormatPr defaultRowHeight="14.4" x14ac:dyDescent="0.3"/>
  <cols>
    <col min="1" max="1" width="3" bestFit="1" customWidth="1"/>
    <col min="2" max="2" width="29.33203125" customWidth="1"/>
    <col min="3" max="3" width="28.88671875" customWidth="1"/>
    <col min="4" max="4" width="10" bestFit="1" customWidth="1"/>
    <col min="5" max="5" width="42.109375" customWidth="1"/>
    <col min="6" max="6" width="13.6640625" customWidth="1"/>
  </cols>
  <sheetData>
    <row r="1" spans="1:9" x14ac:dyDescent="0.3">
      <c r="B1" t="s">
        <v>788</v>
      </c>
    </row>
    <row r="2" spans="1:9" x14ac:dyDescent="0.3">
      <c r="A2" s="21" t="s">
        <v>507</v>
      </c>
      <c r="B2" s="18" t="s">
        <v>0</v>
      </c>
      <c r="C2" s="18" t="s">
        <v>1</v>
      </c>
      <c r="D2" s="18" t="s">
        <v>2</v>
      </c>
      <c r="E2" s="18" t="s">
        <v>3</v>
      </c>
      <c r="F2" s="22" t="s">
        <v>572</v>
      </c>
      <c r="G2" s="22" t="s">
        <v>567</v>
      </c>
      <c r="H2" s="22" t="s">
        <v>589</v>
      </c>
      <c r="I2" s="22" t="s">
        <v>513</v>
      </c>
    </row>
    <row r="3" spans="1:9" x14ac:dyDescent="0.3">
      <c r="A3" s="21">
        <v>1</v>
      </c>
      <c r="B3" s="4" t="s">
        <v>7</v>
      </c>
      <c r="C3" s="5" t="s">
        <v>372</v>
      </c>
      <c r="D3" s="5" t="s">
        <v>546</v>
      </c>
      <c r="E3" s="5" t="s">
        <v>374</v>
      </c>
      <c r="F3" s="9" t="s">
        <v>558</v>
      </c>
      <c r="G3" s="9">
        <v>10</v>
      </c>
      <c r="H3" s="9"/>
      <c r="I3" s="9">
        <v>12</v>
      </c>
    </row>
    <row r="4" spans="1:9" x14ac:dyDescent="0.3">
      <c r="A4" s="21">
        <v>2</v>
      </c>
      <c r="B4" s="4" t="s">
        <v>7</v>
      </c>
      <c r="C4" s="5" t="s">
        <v>372</v>
      </c>
      <c r="D4" s="5" t="s">
        <v>548</v>
      </c>
      <c r="E4" s="5" t="s">
        <v>376</v>
      </c>
      <c r="F4" s="9" t="s">
        <v>558</v>
      </c>
      <c r="G4" s="9">
        <v>10</v>
      </c>
      <c r="H4" s="9"/>
      <c r="I4" s="9">
        <v>12</v>
      </c>
    </row>
    <row r="5" spans="1:9" x14ac:dyDescent="0.3">
      <c r="A5" s="21">
        <v>3</v>
      </c>
      <c r="B5" s="4" t="s">
        <v>7</v>
      </c>
      <c r="C5" s="5" t="s">
        <v>377</v>
      </c>
      <c r="D5" s="5" t="s">
        <v>549</v>
      </c>
      <c r="E5" s="5" t="s">
        <v>379</v>
      </c>
      <c r="F5" s="9"/>
      <c r="G5" s="9">
        <v>10</v>
      </c>
      <c r="H5" s="9"/>
      <c r="I5" s="9">
        <v>12</v>
      </c>
    </row>
    <row r="6" spans="1:9" x14ac:dyDescent="0.3">
      <c r="A6" s="21">
        <v>4</v>
      </c>
      <c r="B6" s="4" t="s">
        <v>7</v>
      </c>
      <c r="C6" s="5" t="s">
        <v>377</v>
      </c>
      <c r="D6" s="5" t="s">
        <v>550</v>
      </c>
      <c r="E6" s="5" t="s">
        <v>381</v>
      </c>
      <c r="F6" s="9"/>
      <c r="G6" s="9">
        <v>10</v>
      </c>
      <c r="H6" s="9"/>
      <c r="I6" s="9">
        <v>15</v>
      </c>
    </row>
    <row r="7" spans="1:9" x14ac:dyDescent="0.3">
      <c r="A7" s="21">
        <v>5</v>
      </c>
      <c r="B7" s="4" t="s">
        <v>7</v>
      </c>
      <c r="C7" s="5" t="s">
        <v>377</v>
      </c>
      <c r="D7" s="5" t="s">
        <v>619</v>
      </c>
      <c r="E7" s="5" t="s">
        <v>383</v>
      </c>
      <c r="F7" s="9" t="s">
        <v>558</v>
      </c>
      <c r="G7" s="9">
        <v>10</v>
      </c>
      <c r="H7" s="9"/>
      <c r="I7" s="9">
        <v>12</v>
      </c>
    </row>
    <row r="8" spans="1:9" x14ac:dyDescent="0.3">
      <c r="A8" s="21">
        <v>6</v>
      </c>
      <c r="B8" s="4" t="s">
        <v>7</v>
      </c>
      <c r="C8" s="5" t="s">
        <v>384</v>
      </c>
      <c r="D8" s="5" t="s">
        <v>615</v>
      </c>
      <c r="E8" s="5" t="s">
        <v>385</v>
      </c>
      <c r="F8" s="9"/>
      <c r="G8" s="9">
        <v>10</v>
      </c>
      <c r="H8" s="9"/>
      <c r="I8" s="9">
        <v>12</v>
      </c>
    </row>
    <row r="9" spans="1:9" x14ac:dyDescent="0.3">
      <c r="A9" s="21">
        <v>7</v>
      </c>
      <c r="B9" s="4" t="s">
        <v>7</v>
      </c>
      <c r="C9" s="5" t="s">
        <v>384</v>
      </c>
      <c r="D9" s="5" t="s">
        <v>616</v>
      </c>
      <c r="E9" s="5" t="s">
        <v>386</v>
      </c>
      <c r="F9" s="9"/>
      <c r="G9" s="9">
        <v>10</v>
      </c>
      <c r="H9" s="9"/>
      <c r="I9" s="9">
        <v>13</v>
      </c>
    </row>
    <row r="10" spans="1:9" x14ac:dyDescent="0.3">
      <c r="A10" s="21">
        <v>8</v>
      </c>
      <c r="B10" s="4" t="s">
        <v>7</v>
      </c>
      <c r="C10" s="5" t="s">
        <v>387</v>
      </c>
      <c r="D10" s="5" t="s">
        <v>617</v>
      </c>
      <c r="E10" s="5" t="s">
        <v>388</v>
      </c>
      <c r="F10" s="9"/>
      <c r="G10" s="9">
        <v>10</v>
      </c>
      <c r="H10" s="9"/>
      <c r="I10" s="9">
        <v>12</v>
      </c>
    </row>
    <row r="11" spans="1:9" x14ac:dyDescent="0.3">
      <c r="A11" s="21">
        <v>9</v>
      </c>
      <c r="B11" s="4" t="s">
        <v>7</v>
      </c>
      <c r="C11" s="5" t="s">
        <v>387</v>
      </c>
      <c r="D11" s="5" t="s">
        <v>618</v>
      </c>
      <c r="E11" s="5" t="s">
        <v>389</v>
      </c>
      <c r="F11" s="9" t="s">
        <v>558</v>
      </c>
      <c r="G11" s="9">
        <v>0</v>
      </c>
      <c r="H11" s="9">
        <f>SUM(G3:G11)</f>
        <v>80</v>
      </c>
      <c r="I11" s="9">
        <v>12</v>
      </c>
    </row>
    <row r="12" spans="1:9" x14ac:dyDescent="0.3">
      <c r="A12" s="21">
        <v>10</v>
      </c>
      <c r="B12" s="4" t="s">
        <v>100</v>
      </c>
      <c r="C12" s="10" t="s">
        <v>390</v>
      </c>
      <c r="D12" s="10" t="s">
        <v>551</v>
      </c>
      <c r="E12" s="10" t="s">
        <v>392</v>
      </c>
      <c r="F12" s="9"/>
      <c r="G12" s="9">
        <v>10</v>
      </c>
      <c r="H12" s="9"/>
      <c r="I12" s="118" t="s">
        <v>876</v>
      </c>
    </row>
  </sheetData>
  <pageMargins left="0.511811024" right="0.511811024" top="0.78740157499999996" bottom="0.78740157499999996" header="0.31496062000000002" footer="0.31496062000000002"/>
  <pageSetup paperSize="9"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1005-55AC-4737-8179-4491CE7092AF}">
  <dimension ref="A1:S40"/>
  <sheetViews>
    <sheetView zoomScale="110" zoomScaleNormal="110" workbookViewId="0">
      <selection activeCell="I38" sqref="I38"/>
    </sheetView>
  </sheetViews>
  <sheetFormatPr defaultRowHeight="14.4" x14ac:dyDescent="0.3"/>
  <cols>
    <col min="1" max="1" width="22.33203125" customWidth="1"/>
    <col min="2" max="2" width="13.5546875" customWidth="1"/>
    <col min="11" max="11" width="16" customWidth="1"/>
  </cols>
  <sheetData>
    <row r="1" spans="1:19" x14ac:dyDescent="0.3">
      <c r="L1" s="135" t="s">
        <v>596</v>
      </c>
      <c r="M1" s="135"/>
      <c r="N1" s="135"/>
      <c r="O1" s="135"/>
      <c r="P1" s="135"/>
      <c r="Q1" s="135"/>
      <c r="R1" s="135"/>
      <c r="S1" s="135"/>
    </row>
    <row r="2" spans="1:19" x14ac:dyDescent="0.3">
      <c r="B2" s="53" t="s">
        <v>576</v>
      </c>
      <c r="C2" s="53" t="s">
        <v>577</v>
      </c>
      <c r="D2" s="53" t="s">
        <v>578</v>
      </c>
      <c r="E2" s="53" t="s">
        <v>579</v>
      </c>
      <c r="F2" s="53" t="s">
        <v>580</v>
      </c>
      <c r="G2" s="53" t="s">
        <v>581</v>
      </c>
      <c r="H2" s="53" t="s">
        <v>582</v>
      </c>
      <c r="I2" s="53" t="s">
        <v>583</v>
      </c>
      <c r="J2" s="53" t="s">
        <v>584</v>
      </c>
      <c r="L2" s="53" t="s">
        <v>577</v>
      </c>
      <c r="M2" s="53" t="s">
        <v>578</v>
      </c>
      <c r="N2" s="53" t="s">
        <v>579</v>
      </c>
      <c r="O2" s="53" t="s">
        <v>580</v>
      </c>
      <c r="P2" s="53" t="s">
        <v>581</v>
      </c>
      <c r="Q2" s="53" t="s">
        <v>582</v>
      </c>
      <c r="R2" s="53" t="s">
        <v>583</v>
      </c>
      <c r="S2" s="53" t="s">
        <v>584</v>
      </c>
    </row>
    <row r="3" spans="1:19" x14ac:dyDescent="0.3">
      <c r="A3" s="52" t="s">
        <v>585</v>
      </c>
      <c r="B3" s="54">
        <v>29</v>
      </c>
      <c r="C3" s="54">
        <v>5</v>
      </c>
      <c r="D3" s="54">
        <v>5</v>
      </c>
      <c r="E3" s="54">
        <v>3</v>
      </c>
      <c r="F3" s="54">
        <v>1</v>
      </c>
      <c r="G3" s="54">
        <v>1</v>
      </c>
      <c r="H3" s="54">
        <v>1</v>
      </c>
      <c r="I3" s="54">
        <v>1</v>
      </c>
      <c r="J3" s="83">
        <v>4</v>
      </c>
      <c r="K3" s="84" t="s">
        <v>585</v>
      </c>
      <c r="L3" s="85">
        <f>B3+C3</f>
        <v>34</v>
      </c>
      <c r="M3" s="85">
        <f>B3+D3</f>
        <v>34</v>
      </c>
      <c r="N3" s="85">
        <f>E3+B3</f>
        <v>32</v>
      </c>
      <c r="O3" s="85">
        <f>B3+F3</f>
        <v>30</v>
      </c>
      <c r="P3" s="85">
        <f>B3+G3</f>
        <v>30</v>
      </c>
      <c r="Q3" s="85">
        <f>B3+H3</f>
        <v>30</v>
      </c>
      <c r="R3" s="85">
        <f>B3+I3</f>
        <v>30</v>
      </c>
      <c r="S3" s="86">
        <f>B3+J3</f>
        <v>33</v>
      </c>
    </row>
    <row r="4" spans="1:19" x14ac:dyDescent="0.3">
      <c r="A4" t="s">
        <v>586</v>
      </c>
      <c r="B4" s="53">
        <v>30</v>
      </c>
      <c r="C4" s="53">
        <v>5</v>
      </c>
      <c r="D4" s="53">
        <v>5</v>
      </c>
      <c r="E4" s="53">
        <v>7</v>
      </c>
      <c r="F4" s="53">
        <v>9</v>
      </c>
      <c r="G4" s="53">
        <v>9</v>
      </c>
      <c r="H4" s="53">
        <v>9</v>
      </c>
      <c r="I4" s="53">
        <v>9</v>
      </c>
      <c r="J4" s="78">
        <v>6</v>
      </c>
      <c r="K4" s="68" t="s">
        <v>586</v>
      </c>
      <c r="L4" s="87">
        <f>B4+C4</f>
        <v>35</v>
      </c>
      <c r="M4" s="87">
        <f>B4+D4</f>
        <v>35</v>
      </c>
      <c r="N4" s="87">
        <f>B4+E4</f>
        <v>37</v>
      </c>
      <c r="O4" s="87">
        <f>B4+F4</f>
        <v>39</v>
      </c>
      <c r="P4" s="87">
        <f>B4+G4</f>
        <v>39</v>
      </c>
      <c r="Q4" s="87">
        <f>B4+H4</f>
        <v>39</v>
      </c>
      <c r="R4" s="87">
        <f>B4+I4</f>
        <v>39</v>
      </c>
      <c r="S4" s="88">
        <f>B4+J4</f>
        <v>36</v>
      </c>
    </row>
    <row r="5" spans="1:19" ht="15" thickBot="1" x14ac:dyDescent="0.35">
      <c r="K5" s="57" t="s">
        <v>594</v>
      </c>
      <c r="L5" s="89">
        <f>SUM(L3:L4)</f>
        <v>69</v>
      </c>
      <c r="M5" s="89">
        <f t="shared" ref="M5:S5" si="0">SUM(M3:M4)</f>
        <v>69</v>
      </c>
      <c r="N5" s="89">
        <f t="shared" si="0"/>
        <v>69</v>
      </c>
      <c r="O5" s="89">
        <f t="shared" si="0"/>
        <v>69</v>
      </c>
      <c r="P5" s="89">
        <f t="shared" si="0"/>
        <v>69</v>
      </c>
      <c r="Q5" s="89">
        <f t="shared" si="0"/>
        <v>69</v>
      </c>
      <c r="R5" s="89">
        <f t="shared" si="0"/>
        <v>69</v>
      </c>
      <c r="S5" s="90">
        <f t="shared" si="0"/>
        <v>69</v>
      </c>
    </row>
    <row r="6" spans="1:19" ht="15" thickBot="1" x14ac:dyDescent="0.35">
      <c r="B6" s="131" t="s">
        <v>593</v>
      </c>
      <c r="C6" s="132"/>
      <c r="D6" s="132"/>
      <c r="E6" s="132"/>
      <c r="F6" s="132"/>
      <c r="G6" s="132"/>
      <c r="H6" s="132"/>
      <c r="I6" s="132"/>
      <c r="J6" s="133"/>
    </row>
    <row r="7" spans="1:19" x14ac:dyDescent="0.3">
      <c r="B7" s="59" t="s">
        <v>576</v>
      </c>
      <c r="C7" s="59" t="s">
        <v>577</v>
      </c>
      <c r="D7" s="59" t="s">
        <v>578</v>
      </c>
      <c r="E7" s="59" t="s">
        <v>579</v>
      </c>
      <c r="F7" s="59" t="s">
        <v>580</v>
      </c>
      <c r="G7" s="59" t="s">
        <v>581</v>
      </c>
      <c r="H7" s="59" t="s">
        <v>582</v>
      </c>
      <c r="I7" s="59" t="s">
        <v>583</v>
      </c>
      <c r="J7" s="59" t="s">
        <v>584</v>
      </c>
    </row>
    <row r="8" spans="1:19" x14ac:dyDescent="0.3">
      <c r="A8" s="57" t="s">
        <v>591</v>
      </c>
      <c r="B8" s="54">
        <v>120</v>
      </c>
      <c r="C8" s="54">
        <v>50</v>
      </c>
      <c r="D8" s="54">
        <v>40</v>
      </c>
      <c r="E8" s="54">
        <v>50</v>
      </c>
      <c r="F8" s="54">
        <v>60</v>
      </c>
      <c r="G8" s="54">
        <v>50</v>
      </c>
      <c r="H8" s="54">
        <v>50</v>
      </c>
      <c r="I8" s="54">
        <v>60</v>
      </c>
      <c r="J8" s="54">
        <v>80</v>
      </c>
    </row>
    <row r="9" spans="1:19" x14ac:dyDescent="0.3">
      <c r="A9" s="57" t="s">
        <v>100</v>
      </c>
      <c r="B9" s="53">
        <v>170</v>
      </c>
      <c r="C9" s="53">
        <v>30</v>
      </c>
      <c r="D9" s="53">
        <v>40</v>
      </c>
      <c r="E9" s="53">
        <v>30</v>
      </c>
      <c r="F9" s="53">
        <v>20</v>
      </c>
      <c r="G9" s="53">
        <v>30</v>
      </c>
      <c r="H9" s="53">
        <v>40</v>
      </c>
      <c r="I9" s="53">
        <v>30</v>
      </c>
      <c r="J9" s="53">
        <v>10</v>
      </c>
    </row>
    <row r="10" spans="1:19" x14ac:dyDescent="0.3">
      <c r="A10" s="57" t="s">
        <v>592</v>
      </c>
      <c r="B10" s="58">
        <v>200</v>
      </c>
      <c r="C10" s="58">
        <v>0</v>
      </c>
      <c r="D10" s="58">
        <v>20</v>
      </c>
      <c r="E10" s="58">
        <v>20</v>
      </c>
      <c r="F10" s="58">
        <v>10</v>
      </c>
      <c r="G10" s="58">
        <v>20</v>
      </c>
      <c r="H10" s="58">
        <v>10</v>
      </c>
      <c r="I10" s="58">
        <v>10</v>
      </c>
      <c r="J10" s="58">
        <v>0</v>
      </c>
    </row>
    <row r="11" spans="1:19" ht="15" thickBot="1" x14ac:dyDescent="0.35"/>
    <row r="12" spans="1:19" ht="15" thickBot="1" x14ac:dyDescent="0.35">
      <c r="A12" s="91" t="s">
        <v>601</v>
      </c>
      <c r="B12" s="63"/>
      <c r="C12" s="66" t="s">
        <v>577</v>
      </c>
      <c r="D12" s="66" t="s">
        <v>578</v>
      </c>
      <c r="E12" s="66" t="s">
        <v>579</v>
      </c>
      <c r="F12" s="66" t="s">
        <v>580</v>
      </c>
      <c r="G12" s="66" t="s">
        <v>581</v>
      </c>
      <c r="H12" s="66" t="s">
        <v>582</v>
      </c>
      <c r="I12" s="66" t="s">
        <v>583</v>
      </c>
      <c r="J12" s="67" t="s">
        <v>584</v>
      </c>
    </row>
    <row r="13" spans="1:19" x14ac:dyDescent="0.3">
      <c r="A13" s="65" t="s">
        <v>591</v>
      </c>
      <c r="C13">
        <f>B8+C8</f>
        <v>170</v>
      </c>
      <c r="D13">
        <f>B8+D8</f>
        <v>160</v>
      </c>
      <c r="E13">
        <f>B8+E8</f>
        <v>170</v>
      </c>
      <c r="F13">
        <f>B8+F8</f>
        <v>180</v>
      </c>
      <c r="G13">
        <f>B8+G8</f>
        <v>170</v>
      </c>
      <c r="H13">
        <f>B8+H8</f>
        <v>170</v>
      </c>
      <c r="I13">
        <f>B8+I8</f>
        <v>180</v>
      </c>
      <c r="J13">
        <f>B8+J8</f>
        <v>200</v>
      </c>
    </row>
    <row r="14" spans="1:19" x14ac:dyDescent="0.3">
      <c r="A14" s="57" t="s">
        <v>100</v>
      </c>
      <c r="C14">
        <f>B9+C9</f>
        <v>200</v>
      </c>
      <c r="D14">
        <f>B9+D9</f>
        <v>210</v>
      </c>
      <c r="E14">
        <f>B9+E9</f>
        <v>200</v>
      </c>
      <c r="F14">
        <f>B9+F9</f>
        <v>190</v>
      </c>
      <c r="G14">
        <f>B9+G9</f>
        <v>200</v>
      </c>
      <c r="H14">
        <f>B9+H9</f>
        <v>210</v>
      </c>
      <c r="I14">
        <f>B9+I9</f>
        <v>200</v>
      </c>
      <c r="J14">
        <f>B9+J9</f>
        <v>180</v>
      </c>
    </row>
    <row r="15" spans="1:19" ht="15" thickBot="1" x14ac:dyDescent="0.35">
      <c r="A15" s="61" t="s">
        <v>592</v>
      </c>
      <c r="C15">
        <f>B10+C10</f>
        <v>200</v>
      </c>
      <c r="D15">
        <f>B10+D10</f>
        <v>220</v>
      </c>
      <c r="E15">
        <f>B10+E10</f>
        <v>220</v>
      </c>
      <c r="F15">
        <f>B10+F10</f>
        <v>210</v>
      </c>
      <c r="G15">
        <f>B10+G10</f>
        <v>220</v>
      </c>
      <c r="H15">
        <f>B10+H10</f>
        <v>210</v>
      </c>
      <c r="I15">
        <f>B10+I10</f>
        <v>210</v>
      </c>
      <c r="J15">
        <f>B10+J10</f>
        <v>200</v>
      </c>
    </row>
    <row r="16" spans="1:19" ht="15" thickBot="1" x14ac:dyDescent="0.35">
      <c r="A16" s="62" t="s">
        <v>594</v>
      </c>
      <c r="B16" s="63"/>
      <c r="C16" s="63">
        <f>SUM(C13:C15)</f>
        <v>570</v>
      </c>
      <c r="D16" s="63">
        <f t="shared" ref="D16:J16" si="1">SUM(D13:D15)</f>
        <v>590</v>
      </c>
      <c r="E16" s="63">
        <f t="shared" si="1"/>
        <v>590</v>
      </c>
      <c r="F16" s="63">
        <f t="shared" si="1"/>
        <v>580</v>
      </c>
      <c r="G16" s="63">
        <f t="shared" si="1"/>
        <v>590</v>
      </c>
      <c r="H16" s="63">
        <f t="shared" si="1"/>
        <v>590</v>
      </c>
      <c r="I16" s="63">
        <f t="shared" si="1"/>
        <v>590</v>
      </c>
      <c r="J16" s="64">
        <f t="shared" si="1"/>
        <v>580</v>
      </c>
    </row>
    <row r="17" spans="1:10" x14ac:dyDescent="0.3">
      <c r="A17" s="60"/>
      <c r="B17" s="24"/>
      <c r="C17" s="24"/>
      <c r="D17" s="24"/>
      <c r="E17" s="24"/>
      <c r="F17" s="24"/>
      <c r="G17" s="24"/>
      <c r="H17" s="24"/>
      <c r="I17" s="24"/>
      <c r="J17" s="24"/>
    </row>
    <row r="18" spans="1:10" ht="15" thickBot="1" x14ac:dyDescent="0.35">
      <c r="B18" s="134" t="s">
        <v>598</v>
      </c>
      <c r="C18" s="134"/>
      <c r="D18" s="134"/>
      <c r="E18" s="134"/>
      <c r="F18" s="134"/>
      <c r="G18" s="134"/>
      <c r="H18" s="134"/>
      <c r="I18" s="134"/>
      <c r="J18" s="134"/>
    </row>
    <row r="19" spans="1:10" ht="15" thickBot="1" x14ac:dyDescent="0.35">
      <c r="C19" s="69" t="s">
        <v>577</v>
      </c>
      <c r="D19" s="69" t="s">
        <v>578</v>
      </c>
      <c r="E19" s="69" t="s">
        <v>579</v>
      </c>
      <c r="F19" s="69" t="s">
        <v>580</v>
      </c>
      <c r="G19" s="69" t="s">
        <v>581</v>
      </c>
      <c r="H19" s="69" t="s">
        <v>582</v>
      </c>
      <c r="I19" s="69" t="s">
        <v>583</v>
      </c>
      <c r="J19" s="70" t="s">
        <v>584</v>
      </c>
    </row>
    <row r="20" spans="1:10" x14ac:dyDescent="0.3">
      <c r="A20" s="127" t="s">
        <v>595</v>
      </c>
      <c r="B20" s="71" t="s">
        <v>577</v>
      </c>
      <c r="C20" s="71">
        <f>C13*0.8</f>
        <v>136</v>
      </c>
      <c r="D20" s="71">
        <f>D13*0.8</f>
        <v>128</v>
      </c>
      <c r="E20" s="71">
        <f t="shared" ref="E20:J20" si="2">E13*0.8</f>
        <v>136</v>
      </c>
      <c r="F20" s="71">
        <f t="shared" si="2"/>
        <v>144</v>
      </c>
      <c r="G20" s="71">
        <f t="shared" si="2"/>
        <v>136</v>
      </c>
      <c r="H20" s="71">
        <f t="shared" si="2"/>
        <v>136</v>
      </c>
      <c r="I20" s="71">
        <f t="shared" si="2"/>
        <v>144</v>
      </c>
      <c r="J20" s="72">
        <f t="shared" si="2"/>
        <v>160</v>
      </c>
    </row>
    <row r="21" spans="1:10" x14ac:dyDescent="0.3">
      <c r="A21" s="128"/>
      <c r="B21" s="53" t="s">
        <v>578</v>
      </c>
      <c r="C21" s="53">
        <f>C13*0.6</f>
        <v>102</v>
      </c>
      <c r="D21" s="53">
        <f>D13*0.6</f>
        <v>96</v>
      </c>
      <c r="E21" s="53">
        <f t="shared" ref="E21:J21" si="3">E13*0.6</f>
        <v>102</v>
      </c>
      <c r="F21" s="53">
        <f t="shared" si="3"/>
        <v>108</v>
      </c>
      <c r="G21" s="53">
        <f t="shared" si="3"/>
        <v>102</v>
      </c>
      <c r="H21" s="53">
        <f t="shared" si="3"/>
        <v>102</v>
      </c>
      <c r="I21" s="53">
        <f t="shared" si="3"/>
        <v>108</v>
      </c>
      <c r="J21" s="73">
        <f t="shared" si="3"/>
        <v>120</v>
      </c>
    </row>
    <row r="22" spans="1:10" ht="15" thickBot="1" x14ac:dyDescent="0.35">
      <c r="A22" s="130"/>
      <c r="B22" s="74" t="s">
        <v>579</v>
      </c>
      <c r="C22" s="74">
        <f>C13*0.3</f>
        <v>51</v>
      </c>
      <c r="D22" s="74">
        <f t="shared" ref="D22:J22" si="4">D13*0.3</f>
        <v>48</v>
      </c>
      <c r="E22" s="74">
        <f t="shared" si="4"/>
        <v>51</v>
      </c>
      <c r="F22" s="74">
        <f t="shared" si="4"/>
        <v>54</v>
      </c>
      <c r="G22" s="74">
        <f t="shared" si="4"/>
        <v>51</v>
      </c>
      <c r="H22" s="74">
        <f t="shared" si="4"/>
        <v>51</v>
      </c>
      <c r="I22" s="74">
        <f t="shared" si="4"/>
        <v>54</v>
      </c>
      <c r="J22" s="75">
        <f t="shared" si="4"/>
        <v>60</v>
      </c>
    </row>
    <row r="23" spans="1:10" x14ac:dyDescent="0.3">
      <c r="A23" s="127" t="s">
        <v>597</v>
      </c>
      <c r="B23" s="71" t="s">
        <v>577</v>
      </c>
      <c r="C23" s="71">
        <f>C14*0.8</f>
        <v>160</v>
      </c>
      <c r="D23" s="71">
        <f t="shared" ref="D23:J23" si="5">D14*0.8</f>
        <v>168</v>
      </c>
      <c r="E23" s="71">
        <f t="shared" si="5"/>
        <v>160</v>
      </c>
      <c r="F23" s="71">
        <f t="shared" si="5"/>
        <v>152</v>
      </c>
      <c r="G23" s="71">
        <f t="shared" si="5"/>
        <v>160</v>
      </c>
      <c r="H23" s="71">
        <f t="shared" si="5"/>
        <v>168</v>
      </c>
      <c r="I23" s="71">
        <f t="shared" si="5"/>
        <v>160</v>
      </c>
      <c r="J23" s="72">
        <f t="shared" si="5"/>
        <v>144</v>
      </c>
    </row>
    <row r="24" spans="1:10" x14ac:dyDescent="0.3">
      <c r="A24" s="128"/>
      <c r="B24" s="53" t="s">
        <v>578</v>
      </c>
      <c r="C24" s="53">
        <f>C14*0.6</f>
        <v>120</v>
      </c>
      <c r="D24" s="53">
        <f t="shared" ref="D24:J24" si="6">D14*0.6</f>
        <v>126</v>
      </c>
      <c r="E24" s="53">
        <f t="shared" si="6"/>
        <v>120</v>
      </c>
      <c r="F24" s="53">
        <f t="shared" si="6"/>
        <v>114</v>
      </c>
      <c r="G24" s="53">
        <f t="shared" si="6"/>
        <v>120</v>
      </c>
      <c r="H24" s="53">
        <f t="shared" si="6"/>
        <v>126</v>
      </c>
      <c r="I24" s="53">
        <f t="shared" si="6"/>
        <v>120</v>
      </c>
      <c r="J24" s="73">
        <f t="shared" si="6"/>
        <v>108</v>
      </c>
    </row>
    <row r="25" spans="1:10" ht="15" thickBot="1" x14ac:dyDescent="0.35">
      <c r="A25" s="130"/>
      <c r="B25" s="74" t="s">
        <v>579</v>
      </c>
      <c r="C25" s="56">
        <f>C15*0.3</f>
        <v>60</v>
      </c>
      <c r="D25" s="56">
        <f t="shared" ref="D25:J25" si="7">D15*0.3</f>
        <v>66</v>
      </c>
      <c r="E25" s="56">
        <f t="shared" si="7"/>
        <v>66</v>
      </c>
      <c r="F25" s="56">
        <f t="shared" si="7"/>
        <v>63</v>
      </c>
      <c r="G25" s="56">
        <f t="shared" si="7"/>
        <v>66</v>
      </c>
      <c r="H25" s="56">
        <f t="shared" si="7"/>
        <v>63</v>
      </c>
      <c r="I25" s="56">
        <f t="shared" si="7"/>
        <v>63</v>
      </c>
      <c r="J25" s="76">
        <f t="shared" si="7"/>
        <v>60</v>
      </c>
    </row>
    <row r="26" spans="1:10" x14ac:dyDescent="0.3">
      <c r="A26" s="127" t="s">
        <v>599</v>
      </c>
      <c r="B26" s="77" t="s">
        <v>577</v>
      </c>
      <c r="C26" s="80">
        <f>C15*0.8</f>
        <v>160</v>
      </c>
      <c r="D26" s="71">
        <f t="shared" ref="D26:J26" si="8">D15*0.8</f>
        <v>176</v>
      </c>
      <c r="E26" s="71">
        <f t="shared" si="8"/>
        <v>176</v>
      </c>
      <c r="F26" s="71">
        <f t="shared" si="8"/>
        <v>168</v>
      </c>
      <c r="G26" s="71">
        <f t="shared" si="8"/>
        <v>176</v>
      </c>
      <c r="H26" s="71">
        <f t="shared" si="8"/>
        <v>168</v>
      </c>
      <c r="I26" s="71">
        <f t="shared" si="8"/>
        <v>168</v>
      </c>
      <c r="J26" s="72">
        <f t="shared" si="8"/>
        <v>160</v>
      </c>
    </row>
    <row r="27" spans="1:10" x14ac:dyDescent="0.3">
      <c r="A27" s="128"/>
      <c r="B27" s="78" t="s">
        <v>578</v>
      </c>
      <c r="C27" s="81">
        <f>C15*0.6</f>
        <v>120</v>
      </c>
      <c r="D27" s="53">
        <f t="shared" ref="D27:J27" si="9">D15*0.6</f>
        <v>132</v>
      </c>
      <c r="E27" s="53">
        <f t="shared" si="9"/>
        <v>132</v>
      </c>
      <c r="F27" s="53">
        <f t="shared" si="9"/>
        <v>126</v>
      </c>
      <c r="G27" s="53">
        <f t="shared" si="9"/>
        <v>132</v>
      </c>
      <c r="H27" s="53">
        <f t="shared" si="9"/>
        <v>126</v>
      </c>
      <c r="I27" s="53">
        <f t="shared" si="9"/>
        <v>126</v>
      </c>
      <c r="J27" s="73">
        <f t="shared" si="9"/>
        <v>120</v>
      </c>
    </row>
    <row r="28" spans="1:10" ht="15" thickBot="1" x14ac:dyDescent="0.35">
      <c r="A28" s="130"/>
      <c r="B28" s="79" t="s">
        <v>579</v>
      </c>
      <c r="C28" s="82">
        <f>C15*0.3</f>
        <v>60</v>
      </c>
      <c r="D28" s="74">
        <f t="shared" ref="D28:J28" si="10">D15*0.3</f>
        <v>66</v>
      </c>
      <c r="E28" s="74">
        <f t="shared" si="10"/>
        <v>66</v>
      </c>
      <c r="F28" s="74">
        <f t="shared" si="10"/>
        <v>63</v>
      </c>
      <c r="G28" s="74">
        <f t="shared" si="10"/>
        <v>66</v>
      </c>
      <c r="H28" s="74">
        <f t="shared" si="10"/>
        <v>63</v>
      </c>
      <c r="I28" s="74">
        <f t="shared" si="10"/>
        <v>63</v>
      </c>
      <c r="J28" s="75">
        <f t="shared" si="10"/>
        <v>60</v>
      </c>
    </row>
    <row r="30" spans="1:10" ht="15" thickBot="1" x14ac:dyDescent="0.35">
      <c r="B30" s="134" t="s">
        <v>600</v>
      </c>
      <c r="C30" s="134"/>
      <c r="D30" s="134"/>
      <c r="E30" s="134"/>
      <c r="F30" s="134"/>
      <c r="G30" s="134"/>
      <c r="H30" s="134"/>
      <c r="I30" s="134"/>
      <c r="J30" s="134"/>
    </row>
    <row r="31" spans="1:10" ht="15" thickBot="1" x14ac:dyDescent="0.35">
      <c r="C31" s="69" t="s">
        <v>577</v>
      </c>
      <c r="D31" s="69" t="s">
        <v>578</v>
      </c>
      <c r="E31" s="69" t="s">
        <v>579</v>
      </c>
      <c r="F31" s="69" t="s">
        <v>580</v>
      </c>
      <c r="G31" s="69" t="s">
        <v>581</v>
      </c>
      <c r="H31" s="69" t="s">
        <v>582</v>
      </c>
      <c r="I31" s="69" t="s">
        <v>583</v>
      </c>
      <c r="J31" s="70" t="s">
        <v>584</v>
      </c>
    </row>
    <row r="32" spans="1:10" x14ac:dyDescent="0.3">
      <c r="A32" s="127" t="s">
        <v>595</v>
      </c>
      <c r="B32" s="71" t="s">
        <v>577</v>
      </c>
      <c r="C32" s="71">
        <f>C20</f>
        <v>136</v>
      </c>
      <c r="D32" s="71">
        <f t="shared" ref="D32:J32" si="11">D20</f>
        <v>128</v>
      </c>
      <c r="E32" s="71">
        <f t="shared" si="11"/>
        <v>136</v>
      </c>
      <c r="F32" s="71">
        <f t="shared" si="11"/>
        <v>144</v>
      </c>
      <c r="G32" s="71">
        <f t="shared" si="11"/>
        <v>136</v>
      </c>
      <c r="H32" s="71">
        <f t="shared" si="11"/>
        <v>136</v>
      </c>
      <c r="I32" s="71">
        <f t="shared" si="11"/>
        <v>144</v>
      </c>
      <c r="J32" s="72">
        <f t="shared" si="11"/>
        <v>160</v>
      </c>
    </row>
    <row r="33" spans="1:10" x14ac:dyDescent="0.3">
      <c r="A33" s="128"/>
      <c r="B33" s="53" t="s">
        <v>578</v>
      </c>
      <c r="C33" s="53">
        <f t="shared" ref="C33:J39" si="12">C21</f>
        <v>102</v>
      </c>
      <c r="D33" s="53">
        <f t="shared" si="12"/>
        <v>96</v>
      </c>
      <c r="E33" s="53">
        <f t="shared" si="12"/>
        <v>102</v>
      </c>
      <c r="F33" s="53">
        <f t="shared" si="12"/>
        <v>108</v>
      </c>
      <c r="G33" s="53">
        <f t="shared" si="12"/>
        <v>102</v>
      </c>
      <c r="H33" s="53">
        <f t="shared" si="12"/>
        <v>102</v>
      </c>
      <c r="I33" s="53">
        <f t="shared" si="12"/>
        <v>108</v>
      </c>
      <c r="J33" s="73">
        <f t="shared" si="12"/>
        <v>120</v>
      </c>
    </row>
    <row r="34" spans="1:10" ht="15" thickBot="1" x14ac:dyDescent="0.35">
      <c r="A34" s="129"/>
      <c r="B34" s="56" t="s">
        <v>579</v>
      </c>
      <c r="C34" s="56">
        <f>C13*0.4</f>
        <v>68</v>
      </c>
      <c r="D34" s="56">
        <f t="shared" ref="D34:J34" si="13">D13*0.4</f>
        <v>64</v>
      </c>
      <c r="E34" s="56">
        <f t="shared" si="13"/>
        <v>68</v>
      </c>
      <c r="F34" s="56">
        <f t="shared" si="13"/>
        <v>72</v>
      </c>
      <c r="G34" s="56">
        <f t="shared" si="13"/>
        <v>68</v>
      </c>
      <c r="H34" s="56">
        <f t="shared" si="13"/>
        <v>68</v>
      </c>
      <c r="I34" s="56">
        <f t="shared" si="13"/>
        <v>72</v>
      </c>
      <c r="J34" s="76">
        <f t="shared" si="13"/>
        <v>80</v>
      </c>
    </row>
    <row r="35" spans="1:10" x14ac:dyDescent="0.3">
      <c r="A35" s="127" t="s">
        <v>597</v>
      </c>
      <c r="B35" s="71" t="s">
        <v>577</v>
      </c>
      <c r="C35" s="71">
        <f t="shared" si="12"/>
        <v>160</v>
      </c>
      <c r="D35" s="71">
        <f t="shared" si="12"/>
        <v>168</v>
      </c>
      <c r="E35" s="71">
        <f t="shared" si="12"/>
        <v>160</v>
      </c>
      <c r="F35" s="71">
        <f t="shared" si="12"/>
        <v>152</v>
      </c>
      <c r="G35" s="71">
        <f t="shared" si="12"/>
        <v>160</v>
      </c>
      <c r="H35" s="71">
        <f t="shared" si="12"/>
        <v>168</v>
      </c>
      <c r="I35" s="71">
        <f t="shared" si="12"/>
        <v>160</v>
      </c>
      <c r="J35" s="72">
        <f t="shared" si="12"/>
        <v>144</v>
      </c>
    </row>
    <row r="36" spans="1:10" x14ac:dyDescent="0.3">
      <c r="A36" s="128"/>
      <c r="B36" s="53" t="s">
        <v>578</v>
      </c>
      <c r="C36" s="53">
        <f t="shared" si="12"/>
        <v>120</v>
      </c>
      <c r="D36" s="53">
        <f t="shared" si="12"/>
        <v>126</v>
      </c>
      <c r="E36" s="53">
        <f t="shared" si="12"/>
        <v>120</v>
      </c>
      <c r="F36" s="53">
        <f t="shared" si="12"/>
        <v>114</v>
      </c>
      <c r="G36" s="53">
        <f t="shared" si="12"/>
        <v>120</v>
      </c>
      <c r="H36" s="53">
        <f t="shared" si="12"/>
        <v>126</v>
      </c>
      <c r="I36" s="53">
        <f t="shared" si="12"/>
        <v>120</v>
      </c>
      <c r="J36" s="73">
        <f t="shared" si="12"/>
        <v>108</v>
      </c>
    </row>
    <row r="37" spans="1:10" ht="15" thickBot="1" x14ac:dyDescent="0.35">
      <c r="A37" s="129"/>
      <c r="B37" s="56" t="s">
        <v>579</v>
      </c>
      <c r="C37" s="56">
        <f>C14*0.4</f>
        <v>80</v>
      </c>
      <c r="D37" s="56">
        <f t="shared" ref="D37:J37" si="14">D14*0.4</f>
        <v>84</v>
      </c>
      <c r="E37" s="56">
        <f t="shared" si="14"/>
        <v>80</v>
      </c>
      <c r="F37" s="56">
        <f t="shared" si="14"/>
        <v>76</v>
      </c>
      <c r="G37" s="56">
        <f t="shared" si="14"/>
        <v>80</v>
      </c>
      <c r="H37" s="56">
        <f t="shared" si="14"/>
        <v>84</v>
      </c>
      <c r="I37" s="56">
        <f t="shared" si="14"/>
        <v>80</v>
      </c>
      <c r="J37" s="76">
        <f t="shared" si="14"/>
        <v>72</v>
      </c>
    </row>
    <row r="38" spans="1:10" x14ac:dyDescent="0.3">
      <c r="A38" s="127" t="s">
        <v>599</v>
      </c>
      <c r="B38" s="71" t="s">
        <v>577</v>
      </c>
      <c r="C38" s="71">
        <f t="shared" si="12"/>
        <v>160</v>
      </c>
      <c r="D38" s="71">
        <f t="shared" si="12"/>
        <v>176</v>
      </c>
      <c r="E38" s="71">
        <f t="shared" si="12"/>
        <v>176</v>
      </c>
      <c r="F38" s="71">
        <f t="shared" si="12"/>
        <v>168</v>
      </c>
      <c r="G38" s="71">
        <f t="shared" si="12"/>
        <v>176</v>
      </c>
      <c r="H38" s="71">
        <f t="shared" si="12"/>
        <v>168</v>
      </c>
      <c r="I38" s="71">
        <f t="shared" si="12"/>
        <v>168</v>
      </c>
      <c r="J38" s="72">
        <f t="shared" si="12"/>
        <v>160</v>
      </c>
    </row>
    <row r="39" spans="1:10" x14ac:dyDescent="0.3">
      <c r="A39" s="128"/>
      <c r="B39" s="53" t="s">
        <v>578</v>
      </c>
      <c r="C39" s="53">
        <f t="shared" si="12"/>
        <v>120</v>
      </c>
      <c r="D39" s="53">
        <f t="shared" si="12"/>
        <v>132</v>
      </c>
      <c r="E39" s="53">
        <f t="shared" si="12"/>
        <v>132</v>
      </c>
      <c r="F39" s="53">
        <f t="shared" si="12"/>
        <v>126</v>
      </c>
      <c r="G39" s="53">
        <f t="shared" si="12"/>
        <v>132</v>
      </c>
      <c r="H39" s="53">
        <f t="shared" si="12"/>
        <v>126</v>
      </c>
      <c r="I39" s="53">
        <f t="shared" si="12"/>
        <v>126</v>
      </c>
      <c r="J39" s="73">
        <f t="shared" si="12"/>
        <v>120</v>
      </c>
    </row>
    <row r="40" spans="1:10" ht="15" thickBot="1" x14ac:dyDescent="0.35">
      <c r="A40" s="130"/>
      <c r="B40" s="74" t="s">
        <v>579</v>
      </c>
      <c r="C40" s="74">
        <f>C15*0.4</f>
        <v>80</v>
      </c>
      <c r="D40" s="74">
        <f t="shared" ref="D40:J40" si="15">D15*0.4</f>
        <v>88</v>
      </c>
      <c r="E40" s="74">
        <f t="shared" si="15"/>
        <v>88</v>
      </c>
      <c r="F40" s="74">
        <f t="shared" si="15"/>
        <v>84</v>
      </c>
      <c r="G40" s="74">
        <f t="shared" si="15"/>
        <v>88</v>
      </c>
      <c r="H40" s="74">
        <f t="shared" si="15"/>
        <v>84</v>
      </c>
      <c r="I40" s="74">
        <f t="shared" si="15"/>
        <v>84</v>
      </c>
      <c r="J40" s="75">
        <f t="shared" si="15"/>
        <v>80</v>
      </c>
    </row>
  </sheetData>
  <mergeCells count="10">
    <mergeCell ref="L1:S1"/>
    <mergeCell ref="A23:A25"/>
    <mergeCell ref="A26:A28"/>
    <mergeCell ref="B30:J30"/>
    <mergeCell ref="A32:A34"/>
    <mergeCell ref="A35:A37"/>
    <mergeCell ref="A38:A40"/>
    <mergeCell ref="B6:J6"/>
    <mergeCell ref="B18:J18"/>
    <mergeCell ref="A20:A22"/>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1</vt:i4>
      </vt:variant>
    </vt:vector>
  </HeadingPairs>
  <TitlesOfParts>
    <vt:vector size="13" baseType="lpstr">
      <vt:lpstr>Questionário</vt:lpstr>
      <vt:lpstr>Consolidado</vt:lpstr>
      <vt:lpstr>Caderno Geral</vt:lpstr>
      <vt:lpstr>A</vt:lpstr>
      <vt:lpstr>B</vt:lpstr>
      <vt:lpstr>C</vt:lpstr>
      <vt:lpstr>D</vt:lpstr>
      <vt:lpstr>E</vt:lpstr>
      <vt:lpstr>F</vt:lpstr>
      <vt:lpstr>G</vt:lpstr>
      <vt:lpstr>H</vt:lpstr>
      <vt:lpstr>Pontuações</vt:lpstr>
      <vt:lpstr>'Caderno Geral'!Area_de_impressao</vt:lpstr>
    </vt:vector>
  </TitlesOfParts>
  <Company>SESI SERVICO SOCIAL DA INDUSTRIADE 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Henrique Franco</dc:creator>
  <cp:lastModifiedBy>João Gabriel De Freitas Simões</cp:lastModifiedBy>
  <cp:lastPrinted>2024-02-09T14:08:06Z</cp:lastPrinted>
  <dcterms:created xsi:type="dcterms:W3CDTF">2024-01-19T18:09:40Z</dcterms:created>
  <dcterms:modified xsi:type="dcterms:W3CDTF">2025-08-18T16:06:54Z</dcterms:modified>
</cp:coreProperties>
</file>